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Darshan_Meti_S388441\Week_1_iteration\"/>
    </mc:Choice>
  </mc:AlternateContent>
  <xr:revisionPtr revIDLastSave="0" documentId="13_ncr:1_{7653FEBB-E279-4680-A960-5BD0AB636F1D}" xr6:coauthVersionLast="47" xr6:coauthVersionMax="47" xr10:uidLastSave="{00000000-0000-0000-0000-000000000000}"/>
  <bookViews>
    <workbookView xWindow="-120" yWindow="-16320" windowWidth="29040" windowHeight="15720" tabRatio="808" firstSheet="1" activeTab="6" xr2:uid="{00000000-000D-0000-FFFF-FFFF00000000}"/>
  </bookViews>
  <sheets>
    <sheet name="Week1_Checklist" sheetId="1" r:id="rId1"/>
    <sheet name="Pivot_Category_Sales" sheetId="7" r:id="rId2"/>
    <sheet name="Pivot_Region_Sales" sheetId="9" r:id="rId3"/>
    <sheet name="Pivot_Subcategory_Profit" sheetId="10" r:id="rId4"/>
    <sheet name="Pivot_Monthly_Sales" sheetId="11" r:id="rId5"/>
    <sheet name="Pivot_Segment_Sales" sheetId="12" r:id="rId6"/>
    <sheet name="Dashboard" sheetId="13" r:id="rId7"/>
    <sheet name="Sales_Data" sheetId="2" r:id="rId8"/>
    <sheet name="Lookup_Data" sheetId="3" r:id="rId9"/>
    <sheet name="Formula_Practice" sheetId="4" r:id="rId10"/>
    <sheet name="Stakeholder_Questions" sheetId="5" r:id="rId11"/>
    <sheet name="Week1_Notes" sheetId="6" r:id="rId12"/>
  </sheets>
  <definedNames>
    <definedName name="_xlcn.WorksheetConnection_Week1_Reporting_Fundamentals_Practice.xlsxSalesDataTable1" hidden="1">SalesDataTable[]</definedName>
  </definedNames>
  <calcPr calcId="191029"/>
  <pivotCaches>
    <pivotCache cacheId="105" r:id="rId13"/>
    <pivotCache cacheId="108" r:id="rId14"/>
    <pivotCache cacheId="111" r:id="rId15"/>
    <pivotCache cacheId="117" r:id="rId16"/>
    <pivotCache cacheId="133" r:id="rId17"/>
  </pivotCaches>
  <extLst>
    <ext xmlns:x15="http://schemas.microsoft.com/office/spreadsheetml/2010/11/main" uri="{FCE2AD5D-F65C-4FA6-A056-5C36A1767C68}">
      <x15:dataModel>
        <x15:modelTables>
          <x15:modelTable id="SalesDataTable" name="SalesDataTable" connection="WorksheetConnection_Week1_Reporting_Fundamentals_Practice.xlsx!SalesDataTable"/>
        </x15:modelTables>
        <x15:extLst>
          <ext xmlns:x16="http://schemas.microsoft.com/office/spreadsheetml/2014/11/main" uri="{9835A34E-60A6-4A7C-AAB8-D5F71C897F49}">
            <x16:modelTimeGroupings>
              <x16:modelTimeGrouping tableName="SalesDataTable" columnName="Order Date" columnId="Order Date">
                <x16:calculatedTimeColumn columnName="Order Date (Year)" columnId="Order Date (Year)" contentType="years" isSelected="1"/>
                <x16:calculatedTimeColumn columnName="Order Date (Month Index)" columnId="Order Date (Month Index)" contentType="monthsindex" isSelected="1"/>
                <x16:calculatedTimeColumn columnName="Order Date (Month)" columnId="Order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2" l="1"/>
  <c r="Z2" i="2"/>
  <c r="Y2" i="2"/>
  <c r="F10" i="4"/>
  <c r="D10" i="4"/>
  <c r="X2" i="2"/>
  <c r="W2" i="2"/>
  <c r="V2" i="2"/>
  <c r="U2" i="2"/>
  <c r="T2" i="2"/>
  <c r="S2" i="2"/>
  <c r="F12" i="4"/>
  <c r="D12" i="4"/>
  <c r="F11" i="4"/>
  <c r="D11" i="4"/>
  <c r="F9" i="4"/>
  <c r="D9" i="4"/>
  <c r="F8" i="4"/>
  <c r="D8" i="4"/>
  <c r="F7" i="4"/>
  <c r="D7" i="4"/>
  <c r="F6" i="4"/>
  <c r="D6" i="4"/>
  <c r="F5" i="4"/>
  <c r="D5" i="4"/>
  <c r="F4" i="4"/>
  <c r="D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4EB425-2B64-475F-A6F4-B626901420F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84F57CA-E20B-4C80-B01F-CC56058CDAA9}" name="WorksheetConnection_Week1_Reporting_Fundamentals_Practice.xlsx!SalesDataTable" type="102" refreshedVersion="8" minRefreshableVersion="5">
    <extLst>
      <ext xmlns:x15="http://schemas.microsoft.com/office/spreadsheetml/2010/11/main" uri="{DE250136-89BD-433C-8126-D09CA5730AF9}">
        <x15:connection id="SalesDataTable" autoDelete="1">
          <x15:rangePr sourceName="_xlcn.WorksheetConnection_Week1_Reporting_Fundamentals_Practice.xlsxSalesDataTable1"/>
        </x15:connection>
      </ext>
    </extLst>
  </connection>
</connections>
</file>

<file path=xl/sharedStrings.xml><?xml version="1.0" encoding="utf-8"?>
<sst xmlns="http://schemas.openxmlformats.org/spreadsheetml/2006/main" count="5201" uniqueCount="724">
  <si>
    <t>Week 1 — Reporting Fundamentals</t>
  </si>
  <si>
    <t>Step</t>
  </si>
  <si>
    <t>Activity</t>
  </si>
  <si>
    <t>Evidence to Save</t>
  </si>
  <si>
    <t>Status</t>
  </si>
  <si>
    <t>Excel advanced formulas</t>
  </si>
  <si>
    <t>Completed Formula_Practice sheet</t>
  </si>
  <si>
    <t>Not Started</t>
  </si>
  <si>
    <t>Excel PivotTables</t>
  </si>
  <si>
    <t>5 PivotTables answering stakeholder questions</t>
  </si>
  <si>
    <t>Excel PivotCharts</t>
  </si>
  <si>
    <t>Charts for the 5 questions</t>
  </si>
  <si>
    <t>Excel static report</t>
  </si>
  <si>
    <t>One-page dashboard/report</t>
  </si>
  <si>
    <t>SQL Essential Training</t>
  </si>
  <si>
    <t>Saved SQL queries/screenshots</t>
  </si>
  <si>
    <t>Power BI basics</t>
  </si>
  <si>
    <t>Basic .pbix file + screenshots</t>
  </si>
  <si>
    <t>Week 1 reflection</t>
  </si>
  <si>
    <t>Short notes on what was learned</t>
  </si>
  <si>
    <t>Order ID</t>
  </si>
  <si>
    <t>Order Date</t>
  </si>
  <si>
    <t>Ship Date</t>
  </si>
  <si>
    <t>Customer ID</t>
  </si>
  <si>
    <t>Customer Name</t>
  </si>
  <si>
    <t>Segment</t>
  </si>
  <si>
    <t>Region</t>
  </si>
  <si>
    <t>State</t>
  </si>
  <si>
    <t>City</t>
  </si>
  <si>
    <t>Category</t>
  </si>
  <si>
    <t>Sub-Category</t>
  </si>
  <si>
    <t>Product Name</t>
  </si>
  <si>
    <t>Unit Price</t>
  </si>
  <si>
    <t>Quantity</t>
  </si>
  <si>
    <t>Discount</t>
  </si>
  <si>
    <t>Sales</t>
  </si>
  <si>
    <t>Profit</t>
  </si>
  <si>
    <t>ORD-0001</t>
  </si>
  <si>
    <t>C008</t>
  </si>
  <si>
    <t>Lucas Martin</t>
  </si>
  <si>
    <t>Home Office</t>
  </si>
  <si>
    <t>North</t>
  </si>
  <si>
    <t>NT</t>
  </si>
  <si>
    <t>Darwin</t>
  </si>
  <si>
    <t>Office Supplies</t>
  </si>
  <si>
    <t>Binders</t>
  </si>
  <si>
    <t>Ring Binder</t>
  </si>
  <si>
    <t>ORD-0002</t>
  </si>
  <si>
    <t>C017</t>
  </si>
  <si>
    <t>Emily Scott</t>
  </si>
  <si>
    <t>Consumer</t>
  </si>
  <si>
    <t>Technology</t>
  </si>
  <si>
    <t>Accessories</t>
  </si>
  <si>
    <t>Wireless Mouse</t>
  </si>
  <si>
    <t>ORD-0003</t>
  </si>
  <si>
    <t>C011</t>
  </si>
  <si>
    <t>Grace Thompson</t>
  </si>
  <si>
    <t>East</t>
  </si>
  <si>
    <t>NSW</t>
  </si>
  <si>
    <t>Sydney</t>
  </si>
  <si>
    <t>Furniture</t>
  </si>
  <si>
    <t>Furnishings</t>
  </si>
  <si>
    <t>Desk Lamp</t>
  </si>
  <si>
    <t>ORD-0004</t>
  </si>
  <si>
    <t>C018</t>
  </si>
  <si>
    <t>William Green</t>
  </si>
  <si>
    <t>Corporate</t>
  </si>
  <si>
    <t>Wollongong</t>
  </si>
  <si>
    <t>Computers</t>
  </si>
  <si>
    <t>Laptop</t>
  </si>
  <si>
    <t>ORD-0005</t>
  </si>
  <si>
    <t>C002</t>
  </si>
  <si>
    <t>Noah Smith</t>
  </si>
  <si>
    <t>Chairs</t>
  </si>
  <si>
    <t>Ergonomic Chair</t>
  </si>
  <si>
    <t>ORD-0006</t>
  </si>
  <si>
    <t>C012</t>
  </si>
  <si>
    <t>Leo Walker</t>
  </si>
  <si>
    <t>West</t>
  </si>
  <si>
    <t>WA</t>
  </si>
  <si>
    <t>Bunbury</t>
  </si>
  <si>
    <t>USB-C Hub</t>
  </si>
  <si>
    <t>ORD-0007</t>
  </si>
  <si>
    <t>C015</t>
  </si>
  <si>
    <t>Chloe King</t>
  </si>
  <si>
    <t>South</t>
  </si>
  <si>
    <t>SA</t>
  </si>
  <si>
    <t>Victor Harbor</t>
  </si>
  <si>
    <t>ORD-0008</t>
  </si>
  <si>
    <t>C019</t>
  </si>
  <si>
    <t>Zoe Baker</t>
  </si>
  <si>
    <t>Newcastle</t>
  </si>
  <si>
    <t>ORD-0009</t>
  </si>
  <si>
    <t>C009</t>
  </si>
  <si>
    <t>Olivia White</t>
  </si>
  <si>
    <t>Adelaide</t>
  </si>
  <si>
    <t>Monitor Stand</t>
  </si>
  <si>
    <t>ORD-0010</t>
  </si>
  <si>
    <t>C014</t>
  </si>
  <si>
    <t>Henry Young</t>
  </si>
  <si>
    <t>ORD-0011</t>
  </si>
  <si>
    <t>Katherine</t>
  </si>
  <si>
    <t>Machines</t>
  </si>
  <si>
    <t>Printer</t>
  </si>
  <si>
    <t>ORD-0012</t>
  </si>
  <si>
    <t>C010</t>
  </si>
  <si>
    <t>Jack Harris</t>
  </si>
  <si>
    <t>ORD-0013</t>
  </si>
  <si>
    <t>C004</t>
  </si>
  <si>
    <t>Liam Wilson</t>
  </si>
  <si>
    <t>Paper</t>
  </si>
  <si>
    <t>A4 Copy Paper</t>
  </si>
  <si>
    <t>ORD-0014</t>
  </si>
  <si>
    <t>C005</t>
  </si>
  <si>
    <t>Isla Taylor</t>
  </si>
  <si>
    <t>ORD-0015</t>
  </si>
  <si>
    <t>Tables</t>
  </si>
  <si>
    <t>Office Desk</t>
  </si>
  <si>
    <t>ORD-0016</t>
  </si>
  <si>
    <t>Palmerston</t>
  </si>
  <si>
    <t>ORD-0017</t>
  </si>
  <si>
    <t>C016</t>
  </si>
  <si>
    <t>Oscar Wright</t>
  </si>
  <si>
    <t>ORD-0018</t>
  </si>
  <si>
    <t>Fremantle</t>
  </si>
  <si>
    <t>Phones</t>
  </si>
  <si>
    <t>Smartphone</t>
  </si>
  <si>
    <t>ORD-0019</t>
  </si>
  <si>
    <t>Bookcases</t>
  </si>
  <si>
    <t>Bookcase</t>
  </si>
  <si>
    <t>ORD-0020</t>
  </si>
  <si>
    <t>ORD-0021</t>
  </si>
  <si>
    <t>C006</t>
  </si>
  <si>
    <t>Ethan Anderson</t>
  </si>
  <si>
    <t>ORD-0022</t>
  </si>
  <si>
    <t>Perth</t>
  </si>
  <si>
    <t>ORD-0023</t>
  </si>
  <si>
    <t>C003</t>
  </si>
  <si>
    <t>Mia Brown</t>
  </si>
  <si>
    <t>ORD-0024</t>
  </si>
  <si>
    <t>Supplies</t>
  </si>
  <si>
    <t>Desk Organiser</t>
  </si>
  <si>
    <t>ORD-0025</t>
  </si>
  <si>
    <t>Art</t>
  </si>
  <si>
    <t>Marker Set</t>
  </si>
  <si>
    <t>ORD-0026</t>
  </si>
  <si>
    <t>ORD-0027</t>
  </si>
  <si>
    <t>ORD-0028</t>
  </si>
  <si>
    <t>ORD-0029</t>
  </si>
  <si>
    <t>ORD-0030</t>
  </si>
  <si>
    <t>ORD-0031</t>
  </si>
  <si>
    <t>ORD-0032</t>
  </si>
  <si>
    <t>ORD-0033</t>
  </si>
  <si>
    <t>ORD-0034</t>
  </si>
  <si>
    <t>C013</t>
  </si>
  <si>
    <t>Sophie Hall</t>
  </si>
  <si>
    <t>ORD-0035</t>
  </si>
  <si>
    <t>ORD-0036</t>
  </si>
  <si>
    <t>C020</t>
  </si>
  <si>
    <t>James Adams</t>
  </si>
  <si>
    <t>Mount Gambier</t>
  </si>
  <si>
    <t>ORD-0037</t>
  </si>
  <si>
    <t>ORD-0038</t>
  </si>
  <si>
    <t>C007</t>
  </si>
  <si>
    <t>Amelia Thomas</t>
  </si>
  <si>
    <t>Storage</t>
  </si>
  <si>
    <t>Archive Box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</si>
  <si>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</si>
  <si>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</si>
  <si>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</si>
  <si>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</si>
  <si>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</si>
  <si>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</si>
  <si>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</si>
  <si>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</si>
  <si>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</si>
  <si>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</si>
  <si>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</si>
  <si>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</si>
  <si>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</si>
  <si>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</si>
  <si>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</si>
  <si>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</si>
  <si>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</si>
  <si>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</si>
  <si>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</si>
  <si>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</si>
  <si>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</si>
  <si>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</si>
  <si>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</si>
  <si>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</si>
  <si>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</si>
  <si>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</si>
  <si>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</si>
  <si>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</si>
  <si>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</si>
  <si>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</si>
  <si>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</si>
  <si>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</si>
  <si>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</si>
  <si>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</si>
  <si>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</si>
  <si>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</si>
  <si>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</si>
  <si>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</si>
  <si>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</si>
  <si>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</si>
  <si>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</si>
  <si>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</si>
  <si>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</si>
  <si>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</si>
  <si>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</si>
  <si>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</si>
  <si>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</si>
  <si>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</si>
  <si>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</si>
  <si>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</si>
  <si>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</si>
  <si>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</si>
  <si>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</si>
  <si>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</si>
  <si>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C001</t>
  </si>
  <si>
    <t>Ava Williams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</si>
  <si>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</si>
  <si>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</si>
  <si>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</si>
  <si>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</si>
  <si>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</si>
  <si>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</si>
  <si>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</si>
  <si>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</si>
  <si>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</si>
  <si>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</si>
  <si>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</si>
  <si>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</si>
  <si>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</si>
  <si>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</si>
  <si>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</si>
  <si>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</si>
  <si>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</si>
  <si>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</si>
  <si>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</si>
  <si>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</si>
  <si>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</si>
  <si>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</si>
  <si>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</si>
  <si>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</si>
  <si>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</si>
  <si>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</si>
  <si>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</si>
  <si>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</si>
  <si>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</si>
  <si>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</si>
  <si>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</si>
  <si>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</si>
  <si>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</si>
  <si>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</si>
  <si>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</si>
  <si>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</si>
  <si>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</si>
  <si>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</si>
  <si>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</si>
  <si>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</si>
  <si>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</si>
  <si>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</si>
  <si>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</si>
  <si>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</si>
  <si>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</si>
  <si>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</si>
  <si>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</si>
  <si>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</si>
  <si>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</si>
  <si>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</si>
  <si>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</si>
  <si>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</si>
  <si>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</si>
  <si>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</si>
  <si>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</si>
  <si>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</si>
  <si>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</si>
  <si>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</si>
  <si>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</si>
  <si>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</si>
  <si>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</si>
  <si>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</si>
  <si>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</si>
  <si>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</si>
  <si>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</si>
  <si>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</si>
  <si>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</si>
  <si>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</si>
  <si>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</si>
  <si>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</si>
  <si>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</si>
  <si>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</si>
  <si>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</si>
  <si>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</si>
  <si>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</si>
  <si>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</si>
  <si>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</si>
  <si>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</si>
  <si>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</si>
  <si>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</si>
  <si>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</si>
  <si>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</si>
  <si>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</si>
  <si>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</si>
  <si>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</si>
  <si>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</si>
  <si>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</si>
  <si>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</si>
  <si>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</si>
  <si>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</si>
  <si>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</si>
  <si>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</si>
  <si>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</si>
  <si>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</si>
  <si>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</si>
  <si>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</si>
  <si>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</si>
  <si>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</si>
  <si>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</si>
  <si>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</si>
  <si>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</si>
  <si>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</si>
  <si>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</si>
  <si>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</si>
  <si>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</si>
  <si>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</si>
  <si>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</si>
  <si>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</si>
  <si>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</si>
  <si>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</si>
  <si>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</si>
  <si>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</si>
  <si>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</si>
  <si>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ORD-0206</t>
  </si>
  <si>
    <t>ORD-0207</t>
  </si>
  <si>
    <t>ORD-0208</t>
  </si>
  <si>
    <t>ORD-0209</t>
  </si>
  <si>
    <t>ORD-0210</t>
  </si>
  <si>
    <t>ORD-0211</t>
  </si>
  <si>
    <t>ORD-0212</t>
  </si>
  <si>
    <t>ORD-0213</t>
  </si>
  <si>
    <t>ORD-0214</t>
  </si>
  <si>
    <t>ORD-0215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</si>
  <si>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</si>
  <si>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</si>
  <si>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</si>
  <si>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</si>
  <si>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</si>
  <si>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</si>
  <si>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</si>
  <si>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</si>
  <si>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</si>
  <si>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</si>
  <si>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</si>
  <si>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</si>
  <si>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</si>
  <si>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</si>
  <si>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</si>
  <si>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</si>
  <si>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</si>
  <si>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</si>
  <si>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</si>
  <si>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</si>
  <si>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ORD-0236</t>
  </si>
  <si>
    <t>ORD-0237</t>
  </si>
  <si>
    <t>ORD-0238</t>
  </si>
  <si>
    <t>ORD-0239</t>
  </si>
  <si>
    <t>ORD-0240</t>
  </si>
  <si>
    <t>ORD-0241</t>
  </si>
  <si>
    <t>ORD-0242</t>
  </si>
  <si>
    <t>ORD-0243</t>
  </si>
  <si>
    <t>ORD-0244</t>
  </si>
  <si>
    <t>ORD-0245</t>
  </si>
  <si>
    <t>ORD-0246</t>
  </si>
  <si>
    <t>ORD-0247</t>
  </si>
  <si>
    <t>ORD-0248</t>
  </si>
  <si>
    <t>ORD-0249</t>
  </si>
  <si>
    <t>ORD-0250</t>
  </si>
  <si>
    <t>ORD-0251</t>
  </si>
  <si>
    <t>ORD-0252</t>
  </si>
  <si>
    <t>ORD-0253</t>
  </si>
  <si>
    <t>ORD-0254</t>
  </si>
  <si>
    <t>ORD-0255</t>
  </si>
  <si>
    <t>ORD-0256</t>
  </si>
  <si>
    <t>ORD-0257</t>
  </si>
  <si>
    <t>ORD-0258</t>
  </si>
  <si>
    <t>ORD-0259</t>
  </si>
  <si>
    <t>ORD-0260</t>
  </si>
  <si>
    <t>ORD-0261</t>
  </si>
  <si>
    <t>ORD-0262</t>
  </si>
  <si>
    <t>ORD-0263</t>
  </si>
  <si>
    <t>ORD-0264</t>
  </si>
  <si>
    <t>ORD-0265</t>
  </si>
  <si>
    <t>ORD-0266</t>
  </si>
  <si>
    <t>ORD-0267</t>
  </si>
  <si>
    <t>ORD-0268</t>
  </si>
  <si>
    <t>ORD-0269</t>
  </si>
  <si>
    <t>ORD-0270</t>
  </si>
  <si>
    <t>ORD-0271</t>
  </si>
  <si>
    <t>ORD-0272</t>
  </si>
  <si>
    <t>ORD-0273</t>
  </si>
  <si>
    <t>ORD-0274</t>
  </si>
  <si>
    <t>ORD-0275</t>
  </si>
  <si>
    <t>ORD-0276</t>
  </si>
  <si>
    <t>ORD-0277</t>
  </si>
  <si>
    <t>ORD-0278</t>
  </si>
  <si>
    <t>ORD-0279</t>
  </si>
  <si>
    <t>ORD-0280</t>
  </si>
  <si>
    <t>ORD-0281</t>
  </si>
  <si>
    <t>ORD-0282</t>
  </si>
  <si>
    <t>ORD-0283</t>
  </si>
  <si>
    <t>ORD-0284</t>
  </si>
  <si>
    <t>ORD-0285</t>
  </si>
  <si>
    <t>ORD-0286</t>
  </si>
  <si>
    <t>ORD-0287</t>
  </si>
  <si>
    <t>ORD-0288</t>
  </si>
  <si>
    <t>ORD-0289</t>
  </si>
  <si>
    <t>ORD-0290</t>
  </si>
  <si>
    <t>ORD-0291</t>
  </si>
  <si>
    <t>ORD-0292</t>
  </si>
  <si>
    <t>ORD-0293</t>
  </si>
  <si>
    <t>ORD-0294</t>
  </si>
  <si>
    <t>ORD-0295</t>
  </si>
  <si>
    <t>ORD-0296</t>
  </si>
  <si>
    <t>ORD-0297</t>
  </si>
  <si>
    <t>ORD-0298</t>
  </si>
  <si>
    <t>ORD-0299</t>
  </si>
  <si>
    <t>ORD-0300</t>
  </si>
  <si>
    <t>ORD-0301</t>
  </si>
  <si>
    <t>ORD-0302</t>
  </si>
  <si>
    <t>ORD-0303</t>
  </si>
  <si>
    <t>ORD-0304</t>
  </si>
  <si>
    <t>ORD-0305</t>
  </si>
  <si>
    <t>ORD-0306</t>
  </si>
  <si>
    <t>ORD-0307</t>
  </si>
  <si>
    <t>ORD-0308</t>
  </si>
  <si>
    <t>ORD-0309</t>
  </si>
  <si>
    <t>ORD-0310</t>
  </si>
  <si>
    <t>ORD-0311</t>
  </si>
  <si>
    <t>ORD-0312</t>
  </si>
  <si>
    <t>ORD-0313</t>
  </si>
  <si>
    <t>ORD-0314</t>
  </si>
  <si>
    <t>ORD-0315</t>
  </si>
  <si>
    <t>ORD-0316</t>
  </si>
  <si>
    <t>ORD-0317</t>
  </si>
  <si>
    <t>ORD-0318</t>
  </si>
  <si>
    <t>ORD-0319</t>
  </si>
  <si>
    <t>ORD-0320</t>
  </si>
  <si>
    <t>ORD-0321</t>
  </si>
  <si>
    <t>ORD-0322</t>
  </si>
  <si>
    <t>ORD-0323</t>
  </si>
  <si>
    <t>ORD-0324</t>
  </si>
  <si>
    <t>ORD-0325</t>
  </si>
  <si>
    <t>ORD-0326</t>
  </si>
  <si>
    <t>ORD-0327</t>
  </si>
  <si>
    <t>ORD-0328</t>
  </si>
  <si>
    <t>ORD-0329</t>
  </si>
  <si>
    <t>ORD-0330</t>
  </si>
  <si>
    <t>ORD-0331</t>
  </si>
  <si>
    <t>ORD-0332</t>
  </si>
  <si>
    <t>ORD-0333</t>
  </si>
  <si>
    <t>ORD-0334</t>
  </si>
  <si>
    <t>ORD-0335</t>
  </si>
  <si>
    <t>ORD-0336</t>
  </si>
  <si>
    <t>ORD-0337</t>
  </si>
  <si>
    <t>ORD-0338</t>
  </si>
  <si>
    <t>ORD-0339</t>
  </si>
  <si>
    <t>ORD-0340</t>
  </si>
  <si>
    <t>ORD-0341</t>
  </si>
  <si>
    <t>ORD-0342</t>
  </si>
  <si>
    <t>ORD-0343</t>
  </si>
  <si>
    <t>ORD-0344</t>
  </si>
  <si>
    <t>ORD-0345</t>
  </si>
  <si>
    <t>ORD-0346</t>
  </si>
  <si>
    <t>ORD-0347</t>
  </si>
  <si>
    <t>ORD-0348</t>
  </si>
  <si>
    <t>ORD-0349</t>
  </si>
  <si>
    <t>ORD-0350</t>
  </si>
  <si>
    <t>ORD-0351</t>
  </si>
  <si>
    <t>ORD-0352</t>
  </si>
  <si>
    <t>ORD-0353</t>
  </si>
  <si>
    <t>ORD-0354</t>
  </si>
  <si>
    <t>ORD-0355</t>
  </si>
  <si>
    <t>ORD-0356</t>
  </si>
  <si>
    <t>ORD-0357</t>
  </si>
  <si>
    <t>ORD-0358</t>
  </si>
  <si>
    <t>ORD-0359</t>
  </si>
  <si>
    <t>ORD-0360</t>
  </si>
  <si>
    <t>ORD-0361</t>
  </si>
  <si>
    <t>ORD-0362</t>
  </si>
  <si>
    <t>ORD-0363</t>
  </si>
  <si>
    <t>ORD-0364</t>
  </si>
  <si>
    <t>ORD-0365</t>
  </si>
  <si>
    <t>ORD-0366</t>
  </si>
  <si>
    <t>ORD-0367</t>
  </si>
  <si>
    <t>ORD-0368</t>
  </si>
  <si>
    <t>ORD-0369</t>
  </si>
  <si>
    <t>ORD-0370</t>
  </si>
  <si>
    <t>ORD-0371</t>
  </si>
  <si>
    <t>ORD-0372</t>
  </si>
  <si>
    <t>ORD-0373</t>
  </si>
  <si>
    <t>ORD-0374</t>
  </si>
  <si>
    <t>ORD-0375</t>
  </si>
  <si>
    <t>ORD-0376</t>
  </si>
  <si>
    <t>ORD-0377</t>
  </si>
  <si>
    <t>ORD-0378</t>
  </si>
  <si>
    <t>ORD-0379</t>
  </si>
  <si>
    <t>ORD-0380</t>
  </si>
  <si>
    <t>ORD-0381</t>
  </si>
  <si>
    <t>ORD-0382</t>
  </si>
  <si>
    <t>ORD-0383</t>
  </si>
  <si>
    <t>ORD-0384</t>
  </si>
  <si>
    <t>ORD-0385</t>
  </si>
  <si>
    <t>ORD-0386</t>
  </si>
  <si>
    <t>ORD-0387</t>
  </si>
  <si>
    <t>ORD-0388</t>
  </si>
  <si>
    <t>ORD-0389</t>
  </si>
  <si>
    <t>ORD-0390</t>
  </si>
  <si>
    <t>ORD-0391</t>
  </si>
  <si>
    <t>ORD-0392</t>
  </si>
  <si>
    <t>ORD-0393</t>
  </si>
  <si>
    <t>ORD-0394</t>
  </si>
  <si>
    <t>ORD-0395</t>
  </si>
  <si>
    <t>ORD-0396</t>
  </si>
  <si>
    <t>ORD-0397</t>
  </si>
  <si>
    <t>ORD-0398</t>
  </si>
  <si>
    <t>ORD-0399</t>
  </si>
  <si>
    <t>ORD-0400</t>
  </si>
  <si>
    <t>ORD-0401</t>
  </si>
  <si>
    <t>ORD-0402</t>
  </si>
  <si>
    <t>ORD-0403</t>
  </si>
  <si>
    <t>ORD-0404</t>
  </si>
  <si>
    <t>ORD-0405</t>
  </si>
  <si>
    <t>ORD-0406</t>
  </si>
  <si>
    <t>ORD-0407</t>
  </si>
  <si>
    <t>ORD-0408</t>
  </si>
  <si>
    <t>ORD-0409</t>
  </si>
  <si>
    <t>ORD-0410</t>
  </si>
  <si>
    <t>ORD-0411</t>
  </si>
  <si>
    <t>ORD-0412</t>
  </si>
  <si>
    <t>ORD-0413</t>
  </si>
  <si>
    <t>ORD-0414</t>
  </si>
  <si>
    <t>ORD-0415</t>
  </si>
  <si>
    <t>ORD-0416</t>
  </si>
  <si>
    <t>ORD-0417</t>
  </si>
  <si>
    <t>ORD-0418</t>
  </si>
  <si>
    <t>ORD-0419</t>
  </si>
  <si>
    <t>ORD-0420</t>
  </si>
  <si>
    <t>ORD-0421</t>
  </si>
  <si>
    <t>ORD-0422</t>
  </si>
  <si>
    <t>ORD-0423</t>
  </si>
  <si>
    <t>ORD-0424</t>
  </si>
  <si>
    <t>ORD-0425</t>
  </si>
  <si>
    <t>ORD-0426</t>
  </si>
  <si>
    <t>ORD-0427</t>
  </si>
  <si>
    <t>ORD-0428</t>
  </si>
  <si>
    <t>ORD-0429</t>
  </si>
  <si>
    <t>ORD-0430</t>
  </si>
  <si>
    <t>ORD-0431</t>
  </si>
  <si>
    <t>ORD-0432</t>
  </si>
  <si>
    <t>ORD-0433</t>
  </si>
  <si>
    <t>ORD-0434</t>
  </si>
  <si>
    <t>ORD-0435</t>
  </si>
  <si>
    <t>ORD-0436</t>
  </si>
  <si>
    <t>ORD-0437</t>
  </si>
  <si>
    <t>ORD-0438</t>
  </si>
  <si>
    <t>ORD-0439</t>
  </si>
  <si>
    <t>ORD-0440</t>
  </si>
  <si>
    <t>ORD-0441</t>
  </si>
  <si>
    <t>ORD-0442</t>
  </si>
  <si>
    <t>ORD-0443</t>
  </si>
  <si>
    <t>ORD-0444</t>
  </si>
  <si>
    <t>ORD-0445</t>
  </si>
  <si>
    <t>ORD-0446</t>
  </si>
  <si>
    <t>ORD-0447</t>
  </si>
  <si>
    <t>ORD-0448</t>
  </si>
  <si>
    <t>ORD-0449</t>
  </si>
  <si>
    <t>ORD-0450</t>
  </si>
  <si>
    <t>ORD-0451</t>
  </si>
  <si>
    <t>ORD-0452</t>
  </si>
  <si>
    <t>ORD-0453</t>
  </si>
  <si>
    <t>ORD-0454</t>
  </si>
  <si>
    <t>ORD-0455</t>
  </si>
  <si>
    <t>ORD-0456</t>
  </si>
  <si>
    <t>ORD-0457</t>
  </si>
  <si>
    <t>ORD-0458</t>
  </si>
  <si>
    <t>ORD-0459</t>
  </si>
  <si>
    <t>ORD-0460</t>
  </si>
  <si>
    <t>ORD-0461</t>
  </si>
  <si>
    <t>ORD-0462</t>
  </si>
  <si>
    <t>ORD-0463</t>
  </si>
  <si>
    <t>ORD-0464</t>
  </si>
  <si>
    <t>ORD-0465</t>
  </si>
  <si>
    <t>ORD-0466</t>
  </si>
  <si>
    <t>ORD-0467</t>
  </si>
  <si>
    <t>ORD-0468</t>
  </si>
  <si>
    <t>ORD-0469</t>
  </si>
  <si>
    <t>ORD-0470</t>
  </si>
  <si>
    <t>ORD-0471</t>
  </si>
  <si>
    <t>ORD-0472</t>
  </si>
  <si>
    <t>ORD-0473</t>
  </si>
  <si>
    <t>ORD-0474</t>
  </si>
  <si>
    <t>ORD-0475</t>
  </si>
  <si>
    <t>ORD-0476</t>
  </si>
  <si>
    <t>ORD-0477</t>
  </si>
  <si>
    <t>ORD-0478</t>
  </si>
  <si>
    <t>ORD-0479</t>
  </si>
  <si>
    <t>ORD-0480</t>
  </si>
  <si>
    <t>ORD-0481</t>
  </si>
  <si>
    <t>ORD-0482</t>
  </si>
  <si>
    <t>ORD-0483</t>
  </si>
  <si>
    <t>ORD-0484</t>
  </si>
  <si>
    <t>ORD-0485</t>
  </si>
  <si>
    <t>ORD-0486</t>
  </si>
  <si>
    <t>ORD-0487</t>
  </si>
  <si>
    <t>ORD-0488</t>
  </si>
  <si>
    <t>ORD-0489</t>
  </si>
  <si>
    <t>ORD-0490</t>
  </si>
  <si>
    <t>ORD-0491</t>
  </si>
  <si>
    <t>ORD-0492</t>
  </si>
  <si>
    <t>ORD-0493</t>
  </si>
  <si>
    <t>ORD-0494</t>
  </si>
  <si>
    <t>ORD-0495</t>
  </si>
  <si>
    <t>ORD-0496</t>
  </si>
  <si>
    <t>ORD-0497</t>
  </si>
  <si>
    <t>ORD-0498</t>
  </si>
  <si>
    <t>ORD-0499</t>
  </si>
  <si>
    <t>ORD-0500</t>
  </si>
  <si>
    <t>Regional Manager</t>
  </si>
  <si>
    <t>Priority</t>
  </si>
  <si>
    <t>Priya Shah</t>
  </si>
  <si>
    <t>Standard</t>
  </si>
  <si>
    <t>Daniel Lee</t>
  </si>
  <si>
    <t>High</t>
  </si>
  <si>
    <t>Emma Jones</t>
  </si>
  <si>
    <t>Medium</t>
  </si>
  <si>
    <t>Michael Chen</t>
  </si>
  <si>
    <t>Excel Advanced Formulas Practice</t>
  </si>
  <si>
    <t>Task</t>
  </si>
  <si>
    <t>Skill</t>
  </si>
  <si>
    <t>Instruction</t>
  </si>
  <si>
    <t>Example/Hint</t>
  </si>
  <si>
    <t>Your Result</t>
  </si>
  <si>
    <t>Expected Result</t>
  </si>
  <si>
    <t>SUM</t>
  </si>
  <si>
    <t>Calculate total Sales from Sales_Data.</t>
  </si>
  <si>
    <t>AVERAGE</t>
  </si>
  <si>
    <t>Calculate average Profit.</t>
  </si>
  <si>
    <t>COUNTIF</t>
  </si>
  <si>
    <t>Count orders in the "North" region.</t>
  </si>
  <si>
    <t>SUMIF</t>
  </si>
  <si>
    <t>Calculate Sales for "Technology".</t>
  </si>
  <si>
    <t>SUMIFS</t>
  </si>
  <si>
    <t>Calculate Technology Sales in the North region.</t>
  </si>
  <si>
    <t>IF</t>
  </si>
  <si>
    <t>Classify first order as Profit or Loss based on Profit value.</t>
  </si>
  <si>
    <t>XLOOKUP</t>
  </si>
  <si>
    <t>Return the regional manager for the first order.</t>
  </si>
  <si>
    <t>TEXT</t>
  </si>
  <si>
    <t>Return the month name for the first order date.</t>
  </si>
  <si>
    <t>ROUND</t>
  </si>
  <si>
    <t>Round the first order Sales to the nearest whole number.</t>
  </si>
  <si>
    <t>Final Excel Report — 5 Stakeholder Questions</t>
  </si>
  <si>
    <t>#</t>
  </si>
  <si>
    <t>Stakeholder Question</t>
  </si>
  <si>
    <t>PivotTable Fields</t>
  </si>
  <si>
    <t>Recommended Chart</t>
  </si>
  <si>
    <t>Completed?</t>
  </si>
  <si>
    <t>Which product category generates the highest sales?</t>
  </si>
  <si>
    <t>Rows: Category | Values: Sum of Sales</t>
  </si>
  <si>
    <t>Clustered Column</t>
  </si>
  <si>
    <t>No</t>
  </si>
  <si>
    <t>Which region generates the highest revenue?</t>
  </si>
  <si>
    <t>Rows: Region | Values: Sum of Sales</t>
  </si>
  <si>
    <t>Bar Chart</t>
  </si>
  <si>
    <t>Which sub-category generates the highest profit?</t>
  </si>
  <si>
    <t>Rows: Sub-Category | Values: Sum of Profit</t>
  </si>
  <si>
    <t>Column Chart</t>
  </si>
  <si>
    <t>How are sales changing over time?</t>
  </si>
  <si>
    <t>Rows: Order Date (group by Month) | Values: Sum of Sales</t>
  </si>
  <si>
    <t>Line Chart</t>
  </si>
  <si>
    <t>Which customer segment contributes the most sales?</t>
  </si>
  <si>
    <t>Rows: Segment | Values: Sum of Sales</t>
  </si>
  <si>
    <t>Doughnut or Column</t>
  </si>
  <si>
    <t>Topic</t>
  </si>
  <si>
    <t>Your Notes</t>
  </si>
  <si>
    <t>PivotTables</t>
  </si>
  <si>
    <t>PivotCharts</t>
  </si>
  <si>
    <t>Static Excel report</t>
  </si>
  <si>
    <t>SQL SELECT / WHERE</t>
  </si>
  <si>
    <t>SQL GROUP BY / aggregates</t>
  </si>
  <si>
    <t>SQL JOIN basics</t>
  </si>
  <si>
    <t>Power BI import / visuals</t>
  </si>
  <si>
    <t>Row Labels</t>
  </si>
  <si>
    <t>Grand Total</t>
  </si>
  <si>
    <t>Sum of Sales</t>
  </si>
  <si>
    <t>Sales by Product Category</t>
  </si>
  <si>
    <r>
      <t>Technology generates the highest sales at $375,075.39</t>
    </r>
    <r>
      <rPr>
        <sz val="11"/>
        <rFont val="Carlito"/>
      </rPr>
      <t>, followed by Furniture at $180,651.51. Office Supplies contributes the least at $9,893.86.</t>
    </r>
  </si>
  <si>
    <t>Yes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</si>
  <si>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</si>
  <si>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</si>
  <si>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</si>
  <si>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</si>
  <si>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</si>
  <si>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</si>
  <si>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</si>
  <si>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</si>
  <si>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</si>
  <si>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</si>
  <si>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</si>
  <si>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</si>
  <si>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</si>
  <si>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2025</t>
  </si>
  <si>
    <t>Sales fluctuate throughout the year. The highest sales were recorded in July at $64,826.01, while the lowest sales were in October at $17,859.79. Sales increased strongly from May to July, declined in August and October, then recovered again in November and December.</t>
  </si>
  <si>
    <t>Home office</t>
  </si>
  <si>
    <t>SUPERSTORE SALES PERFORMANCE DASHBOARD</t>
  </si>
  <si>
    <t>Sales • Profit • Region • Category • Customer Analysis</t>
  </si>
  <si>
    <t>Total Profit</t>
  </si>
  <si>
    <t>Top Category</t>
  </si>
  <si>
    <t>Top Region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</si>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</sst>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dd\-mmm\-yyyy"/>
    <numFmt numFmtId="165" formatCode="\$#,##0.00"/>
    <numFmt numFmtId="166" formatCode="&quot;$&quot;#,##0.00;[Red]&quot;$&quot;#,##0.00"/>
  </numFmts>
  <fonts count="6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sz val="10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0" xfId="0" applyFont="1" applyFill="1"/>
    <xf numFmtId="0" fontId="3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0" fontId="3" fillId="2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4" borderId="0" xfId="0" applyFont="1" applyFill="1" applyAlignment="1">
      <alignment horizontal="center"/>
    </xf>
    <xf numFmtId="166" fontId="0" fillId="0" borderId="0" xfId="0" applyNumberFormat="1"/>
    <xf numFmtId="0" fontId="2" fillId="0" borderId="0" xfId="0" applyFont="1"/>
    <xf numFmtId="0" fontId="0" fillId="0" borderId="0" xfId="0" applyAlignment="1">
      <alignment horizontal="left" indent="1"/>
    </xf>
    <xf numFmtId="8" fontId="5" fillId="4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[Week1_Reporting_Fundamentals_Practice.xlsx]Pivot_Category_Sales!PivotTable1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Pivot_Category_Sales!$B$3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Pivot_Category_Sales!$A$4:$A$7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Pivot_Category_Sales!$B$4:$B$7</c:f>
              <c:numCache>
                <c:formatCode>"$"#,##0.00;[Red]"$"#,##0.00</c:formatCode>
                <c:ptCount val="3"/>
                <c:pt idx="0">
                  <c:v>375075.39</c:v>
                </c:pt>
                <c:pt idx="1">
                  <c:v>180651.51</c:v>
                </c:pt>
                <c:pt idx="2">
                  <c:v>9893.86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1E-432E-9D72-106B68ACF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4118352"/>
        <c:axId val="416049040"/>
      </c:barChart>
      <c:catAx>
        <c:axId val="186411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049040"/>
        <c:crosses val="autoZero"/>
        <c:auto val="1"/>
        <c:lblAlgn val="ctr"/>
        <c:lblOffset val="100"/>
        <c:noMultiLvlLbl val="0"/>
      </c:catAx>
      <c:valAx>
        <c:axId val="41604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;[Red]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11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[Week1_Reporting_Fundamentals_Practice.xlsx]Pivot_Region_Sales!PivotTable3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Pivot_Region_Sales!$B$3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Pivot_Region_Sales!$A$4:$A$8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Pivot_Region_Sales!$B$4:$B$8</c:f>
              <c:numCache>
                <c:formatCode>"$"#,##0.00;[Red]"$"#,##0.00</c:formatCode>
                <c:ptCount val="4"/>
                <c:pt idx="0">
                  <c:v>184239.57</c:v>
                </c:pt>
                <c:pt idx="1">
                  <c:v>128774.93</c:v>
                </c:pt>
                <c:pt idx="2">
                  <c:v>127023.83</c:v>
                </c:pt>
                <c:pt idx="3">
                  <c:v>125582.43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E5-4949-A6B3-B6C3D2584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9107472"/>
        <c:axId val="416073520"/>
      </c:barChart>
      <c:catAx>
        <c:axId val="11491074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073520"/>
        <c:crosses val="autoZero"/>
        <c:auto val="1"/>
        <c:lblAlgn val="ctr"/>
        <c:lblOffset val="100"/>
        <c:noMultiLvlLbl val="0"/>
      </c:catAx>
      <c:valAx>
        <c:axId val="41607352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;[Red]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10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[Week1_Reporting_Fundamentals_Practice.xlsx]Pivot_Subcategory_Profit!PivotTable4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Profit by Sub-Category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Pivot_Subcategory_Profit!$B$3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Pivot_Subcategory_Profit!$A$4:$A$17</c:f>
              <c:strCache>
                <c:ptCount val="13"/>
                <c:pt idx="0">
                  <c:v>Computers</c:v>
                </c:pt>
                <c:pt idx="1">
                  <c:v>Phones</c:v>
                </c:pt>
                <c:pt idx="2">
                  <c:v>Tables</c:v>
                </c:pt>
                <c:pt idx="3">
                  <c:v>Chairs</c:v>
                </c:pt>
                <c:pt idx="4">
                  <c:v>Machines</c:v>
                </c:pt>
                <c:pt idx="5">
                  <c:v>Bookcases</c:v>
                </c:pt>
                <c:pt idx="6">
                  <c:v>Furnishings</c:v>
                </c:pt>
                <c:pt idx="7">
                  <c:v>Accessories</c:v>
                </c:pt>
                <c:pt idx="8">
                  <c:v>Art</c:v>
                </c:pt>
                <c:pt idx="9">
                  <c:v>Supplies</c:v>
                </c:pt>
                <c:pt idx="10">
                  <c:v>Storage</c:v>
                </c:pt>
                <c:pt idx="11">
                  <c:v>Paper</c:v>
                </c:pt>
                <c:pt idx="12">
                  <c:v>Binders</c:v>
                </c:pt>
              </c:strCache>
            </c:strRef>
          </c:cat>
          <c:val>
            <c:numRef>
              <c:f>Pivot_Subcategory_Profit!$B$4:$B$17</c:f>
              <c:numCache>
                <c:formatCode>"$"#,##0.00;[Red]"$"#,##0.00</c:formatCode>
                <c:ptCount val="13"/>
                <c:pt idx="0">
                  <c:v>32793.32</c:v>
                </c:pt>
                <c:pt idx="1">
                  <c:v>18246.490000000002</c:v>
                </c:pt>
                <c:pt idx="2">
                  <c:v>11992.4</c:v>
                </c:pt>
                <c:pt idx="3">
                  <c:v>9045</c:v>
                </c:pt>
                <c:pt idx="4">
                  <c:v>7793.2</c:v>
                </c:pt>
                <c:pt idx="5">
                  <c:v>4269.6899999999996</c:v>
                </c:pt>
                <c:pt idx="6">
                  <c:v>3529.9</c:v>
                </c:pt>
                <c:pt idx="7">
                  <c:v>2829.11</c:v>
                </c:pt>
                <c:pt idx="8">
                  <c:v>404.33</c:v>
                </c:pt>
                <c:pt idx="9">
                  <c:v>296.55</c:v>
                </c:pt>
                <c:pt idx="10">
                  <c:v>290.54000000000002</c:v>
                </c:pt>
                <c:pt idx="11">
                  <c:v>246.37</c:v>
                </c:pt>
                <c:pt idx="12">
                  <c:v>142.29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50-4251-B0A7-2C9356A1D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8097392"/>
        <c:axId val="415929040"/>
      </c:barChart>
      <c:catAx>
        <c:axId val="78809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929040"/>
        <c:crosses val="autoZero"/>
        <c:auto val="1"/>
        <c:lblAlgn val="ctr"/>
        <c:lblOffset val="100"/>
        <c:noMultiLvlLbl val="0"/>
      </c:catAx>
      <c:valAx>
        <c:axId val="41592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;[Red]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09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[Week1_Reporting_Fundamentals_Practice.xlsx]Pivot_Monthly_Sales!PivotTable5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Pivot_Monthly_Sales!$B$3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Pivot_Monthly_Sales!$A$4:$A$17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Pivot_Monthly_Sales!$B$4:$B$17</c:f>
              <c:numCache>
                <c:formatCode>"$"#,##0.00;[Red]"$"#,##0.00</c:formatCode>
                <c:ptCount val="12"/>
                <c:pt idx="0">
                  <c:v>24428.26</c:v>
                </c:pt>
                <c:pt idx="1">
                  <c:v>61619.71</c:v>
                </c:pt>
                <c:pt idx="2">
                  <c:v>38376.699999999997</c:v>
                </c:pt>
                <c:pt idx="3">
                  <c:v>40676.71</c:v>
                </c:pt>
                <c:pt idx="4">
                  <c:v>43129.07</c:v>
                </c:pt>
                <c:pt idx="5">
                  <c:v>61064.89</c:v>
                </c:pt>
                <c:pt idx="6">
                  <c:v>64826.01</c:v>
                </c:pt>
                <c:pt idx="7">
                  <c:v>48022.71</c:v>
                </c:pt>
                <c:pt idx="8">
                  <c:v>53065.32</c:v>
                </c:pt>
                <c:pt idx="9">
                  <c:v>27859.79</c:v>
                </c:pt>
                <c:pt idx="10">
                  <c:v>42778.61</c:v>
                </c:pt>
                <c:pt idx="11">
                  <c:v>59772.98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EC-4AC3-A9D3-45CE33B52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1577424"/>
        <c:axId val="416126800"/>
      </c:lineChart>
      <c:catAx>
        <c:axId val="40157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126800"/>
        <c:crosses val="autoZero"/>
        <c:auto val="1"/>
        <c:lblAlgn val="ctr"/>
        <c:lblOffset val="100"/>
        <c:noMultiLvlLbl val="0"/>
      </c:catAx>
      <c:valAx>
        <c:axId val="4161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;[Red]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57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[Week1_Reporting_Fundamentals_Practice.xlsx]Pivot_Segment_Sales!PivotTable7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by Customer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Pivot_Segment_Sales!$B$3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Pivot_Segment_Sales!$A$4:$A$7</c:f>
              <c:strCache>
                <c:ptCount val="3"/>
                <c:pt idx="0">
                  <c:v>Home Office</c:v>
                </c:pt>
                <c:pt idx="1">
                  <c:v>Corporate</c:v>
                </c:pt>
                <c:pt idx="2">
                  <c:v>Consumer</c:v>
                </c:pt>
              </c:strCache>
            </c:strRef>
          </c:cat>
          <c:val>
            <c:numRef>
              <c:f>Pivot_Segment_Sales!$B$4:$B$7</c:f>
              <c:numCache>
                <c:formatCode>"$"#,##0.00;[Red]"$"#,##0.00</c:formatCode>
                <c:ptCount val="3"/>
                <c:pt idx="0">
                  <c:v>213454.27</c:v>
                </c:pt>
                <c:pt idx="1">
                  <c:v>186893.03</c:v>
                </c:pt>
                <c:pt idx="2">
                  <c:v>165273.46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83-422B-9DF6-F0208D6EA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[Week1_Reporting_Fundamentals_Practice.xlsx]Pivot_Category_Sales!PivotTable1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Pivot_Category_Sales!$B$3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Pivot_Category_Sales!$A$4:$A$7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Pivot_Category_Sales!$B$4:$B$7</c:f>
              <c:numCache>
                <c:formatCode>"$"#,##0.00;[Red]"$"#,##0.00</c:formatCode>
                <c:ptCount val="3"/>
                <c:pt idx="0">
                  <c:v>375075.39</c:v>
                </c:pt>
                <c:pt idx="1">
                  <c:v>180651.51</c:v>
                </c:pt>
                <c:pt idx="2">
                  <c:v>9893.86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3E-41F8-B47E-C5E941D1B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4118352"/>
        <c:axId val="416049040"/>
      </c:barChart>
      <c:catAx>
        <c:axId val="186411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049040"/>
        <c:crosses val="autoZero"/>
        <c:auto val="1"/>
        <c:lblAlgn val="ctr"/>
        <c:lblOffset val="100"/>
        <c:noMultiLvlLbl val="0"/>
      </c:catAx>
      <c:valAx>
        <c:axId val="41604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;[Red]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11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[Week1_Reporting_Fundamentals_Practice.xlsx]Pivot_Region_Sales!PivotTable3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Pivot_Region_Sales!$B$3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Pivot_Region_Sales!$A$4:$A$8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Pivot_Region_Sales!$B$4:$B$8</c:f>
              <c:numCache>
                <c:formatCode>"$"#,##0.00;[Red]"$"#,##0.00</c:formatCode>
                <c:ptCount val="4"/>
                <c:pt idx="0">
                  <c:v>184239.57</c:v>
                </c:pt>
                <c:pt idx="1">
                  <c:v>128774.93</c:v>
                </c:pt>
                <c:pt idx="2">
                  <c:v>127023.83</c:v>
                </c:pt>
                <c:pt idx="3">
                  <c:v>125582.43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59-4F88-A586-A4FCEA95B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9107472"/>
        <c:axId val="416073520"/>
      </c:barChart>
      <c:catAx>
        <c:axId val="11491074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073520"/>
        <c:crosses val="autoZero"/>
        <c:auto val="1"/>
        <c:lblAlgn val="ctr"/>
        <c:lblOffset val="100"/>
        <c:noMultiLvlLbl val="0"/>
      </c:catAx>
      <c:valAx>
        <c:axId val="41607352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;[Red]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10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[Week1_Reporting_Fundamentals_Practice.xlsx]Pivot_Subcategory_Profit!PivotTable4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Profit by Sub-Category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Pivot_Subcategory_Profit!$B$3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Pivot_Subcategory_Profit!$A$4:$A$17</c:f>
              <c:strCache>
                <c:ptCount val="13"/>
                <c:pt idx="0">
                  <c:v>Computers</c:v>
                </c:pt>
                <c:pt idx="1">
                  <c:v>Phones</c:v>
                </c:pt>
                <c:pt idx="2">
                  <c:v>Tables</c:v>
                </c:pt>
                <c:pt idx="3">
                  <c:v>Chairs</c:v>
                </c:pt>
                <c:pt idx="4">
                  <c:v>Machines</c:v>
                </c:pt>
                <c:pt idx="5">
                  <c:v>Bookcases</c:v>
                </c:pt>
                <c:pt idx="6">
                  <c:v>Furnishings</c:v>
                </c:pt>
                <c:pt idx="7">
                  <c:v>Accessories</c:v>
                </c:pt>
                <c:pt idx="8">
                  <c:v>Art</c:v>
                </c:pt>
                <c:pt idx="9">
                  <c:v>Supplies</c:v>
                </c:pt>
                <c:pt idx="10">
                  <c:v>Storage</c:v>
                </c:pt>
                <c:pt idx="11">
                  <c:v>Paper</c:v>
                </c:pt>
                <c:pt idx="12">
                  <c:v>Binders</c:v>
                </c:pt>
              </c:strCache>
            </c:strRef>
          </c:cat>
          <c:val>
            <c:numRef>
              <c:f>Pivot_Subcategory_Profit!$B$4:$B$17</c:f>
              <c:numCache>
                <c:formatCode>"$"#,##0.00;[Red]"$"#,##0.00</c:formatCode>
                <c:ptCount val="13"/>
                <c:pt idx="0">
                  <c:v>32793.32</c:v>
                </c:pt>
                <c:pt idx="1">
                  <c:v>18246.490000000002</c:v>
                </c:pt>
                <c:pt idx="2">
                  <c:v>11992.4</c:v>
                </c:pt>
                <c:pt idx="3">
                  <c:v>9045</c:v>
                </c:pt>
                <c:pt idx="4">
                  <c:v>7793.2</c:v>
                </c:pt>
                <c:pt idx="5">
                  <c:v>4269.6899999999996</c:v>
                </c:pt>
                <c:pt idx="6">
                  <c:v>3529.9</c:v>
                </c:pt>
                <c:pt idx="7">
                  <c:v>2829.11</c:v>
                </c:pt>
                <c:pt idx="8">
                  <c:v>404.33</c:v>
                </c:pt>
                <c:pt idx="9">
                  <c:v>296.55</c:v>
                </c:pt>
                <c:pt idx="10">
                  <c:v>290.54000000000002</c:v>
                </c:pt>
                <c:pt idx="11">
                  <c:v>246.37</c:v>
                </c:pt>
                <c:pt idx="12">
                  <c:v>142.29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14-4F63-ADCF-E797DD80F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8097392"/>
        <c:axId val="415929040"/>
      </c:barChart>
      <c:catAx>
        <c:axId val="78809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929040"/>
        <c:crosses val="autoZero"/>
        <c:auto val="1"/>
        <c:lblAlgn val="ctr"/>
        <c:lblOffset val="100"/>
        <c:noMultiLvlLbl val="0"/>
      </c:catAx>
      <c:valAx>
        <c:axId val="41592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;[Red]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09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[Week1_Reporting_Fundamentals_Practice.xlsx]Pivot_Monthly_Sales!PivotTable5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Pivot_Monthly_Sales!$B$3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Pivot_Monthly_Sales!$A$4:$A$17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Pivot_Monthly_Sales!$B$4:$B$17</c:f>
              <c:numCache>
                <c:formatCode>"$"#,##0.00;[Red]"$"#,##0.00</c:formatCode>
                <c:ptCount val="12"/>
                <c:pt idx="0">
                  <c:v>24428.26</c:v>
                </c:pt>
                <c:pt idx="1">
                  <c:v>61619.71</c:v>
                </c:pt>
                <c:pt idx="2">
                  <c:v>38376.699999999997</c:v>
                </c:pt>
                <c:pt idx="3">
                  <c:v>40676.71</c:v>
                </c:pt>
                <c:pt idx="4">
                  <c:v>43129.07</c:v>
                </c:pt>
                <c:pt idx="5">
                  <c:v>61064.89</c:v>
                </c:pt>
                <c:pt idx="6">
                  <c:v>64826.01</c:v>
                </c:pt>
                <c:pt idx="7">
                  <c:v>48022.71</c:v>
                </c:pt>
                <c:pt idx="8">
                  <c:v>53065.32</c:v>
                </c:pt>
                <c:pt idx="9">
                  <c:v>27859.79</c:v>
                </c:pt>
                <c:pt idx="10">
                  <c:v>42778.61</c:v>
                </c:pt>
                <c:pt idx="11">
                  <c:v>59772.98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7F-470F-9BE3-0F425944F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1577424"/>
        <c:axId val="416126800"/>
      </c:lineChart>
      <c:catAx>
        <c:axId val="40157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126800"/>
        <c:crosses val="autoZero"/>
        <c:auto val="1"/>
        <c:lblAlgn val="ctr"/>
        <c:lblOffset val="100"/>
        <c:noMultiLvlLbl val="0"/>
      </c:catAx>
      <c:valAx>
        <c:axId val="4161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;[Red]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57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[Week1_Reporting_Fundamentals_Practice.xlsx]Pivot_Segment_Sales!PivotTable7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by Customer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Pivot_Segment_Sales!$B$3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95-4B9F-8373-97C91A224F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95-4B9F-8373-97C91A224F2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095-4B9F-8373-97C91A224F2B}"/>
              </c:ext>
            </c:extLst>
          </c:dPt>
          <c:cat>
            <c:strRef>
              <c:f>Pivot_Segment_Sales!$A$4:$A$7</c:f>
              <c:strCache>
                <c:ptCount val="3"/>
                <c:pt idx="0">
                  <c:v>Home Office</c:v>
                </c:pt>
                <c:pt idx="1">
                  <c:v>Corporate</c:v>
                </c:pt>
                <c:pt idx="2">
                  <c:v>Consumer</c:v>
                </c:pt>
              </c:strCache>
            </c:strRef>
          </c:cat>
          <c:val>
            <c:numRef>
              <c:f>Pivot_Segment_Sales!$B$4:$B$7</c:f>
              <c:numCache>
                <c:formatCode>"$"#,##0.00;[Red]"$"#,##0.00</c:formatCode>
                <c:ptCount val="3"/>
                <c:pt idx="0">
                  <c:v>213454.27</c:v>
                </c:pt>
                <c:pt idx="1">
                  <c:v>186893.03</c:v>
                </c:pt>
                <c:pt idx="2">
                  <c:v>165273.46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95-4B9F-8373-97C91A224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24765</xdr:rowOff>
    </xdr:from>
    <xdr:to>
      <xdr:col>5</xdr:col>
      <xdr:colOff>603885</xdr:colOff>
      <xdr:row>26</xdr:row>
      <xdr:rowOff>24765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4209E2-E5BF-776D-2E5B-0A79A8CB0A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167640</xdr:rowOff>
    </xdr:from>
    <xdr:to>
      <xdr:col>5</xdr:col>
      <xdr:colOff>634365</xdr:colOff>
      <xdr:row>25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46984B-991D-9668-9261-31965CBE95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</xdr:colOff>
      <xdr:row>18</xdr:row>
      <xdr:rowOff>15240</xdr:rowOff>
    </xdr:from>
    <xdr:to>
      <xdr:col>5</xdr:col>
      <xdr:colOff>665797</xdr:colOff>
      <xdr:row>34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C180A9-0086-B960-CB21-4CEFD18DC8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</xdr:colOff>
      <xdr:row>17</xdr:row>
      <xdr:rowOff>167640</xdr:rowOff>
    </xdr:from>
    <xdr:to>
      <xdr:col>5</xdr:col>
      <xdr:colOff>656272</xdr:colOff>
      <xdr:row>33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B77F4A-F048-421B-C94E-73784891D8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167640</xdr:rowOff>
    </xdr:from>
    <xdr:to>
      <xdr:col>5</xdr:col>
      <xdr:colOff>634365</xdr:colOff>
      <xdr:row>23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86ABDD-2D1C-E817-DD8C-AA9773809A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6</xdr:col>
      <xdr:colOff>563880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885E1D-2B2B-41AD-A6D5-4909E7C49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666749</xdr:colOff>
      <xdr:row>7</xdr:row>
      <xdr:rowOff>0</xdr:rowOff>
    </xdr:from>
    <xdr:to>
      <xdr:col>16</xdr:col>
      <xdr:colOff>657224</xdr:colOff>
      <xdr:row>23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EE664F-696E-4F41-8299-621C7A3863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173355</xdr:colOff>
      <xdr:row>7</xdr:row>
      <xdr:rowOff>20955</xdr:rowOff>
    </xdr:from>
    <xdr:to>
      <xdr:col>23</xdr:col>
      <xdr:colOff>243840</xdr:colOff>
      <xdr:row>23</xdr:row>
      <xdr:rowOff>20955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E9E527-C712-4DF7-B7A4-30112A2D57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97155</xdr:colOff>
      <xdr:row>24</xdr:row>
      <xdr:rowOff>158115</xdr:rowOff>
    </xdr:from>
    <xdr:to>
      <xdr:col>10</xdr:col>
      <xdr:colOff>373380</xdr:colOff>
      <xdr:row>40</xdr:row>
      <xdr:rowOff>158115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FC66BB-B519-4E3C-B900-BBACEE3623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447675</xdr:colOff>
      <xdr:row>24</xdr:row>
      <xdr:rowOff>152400</xdr:rowOff>
    </xdr:from>
    <xdr:to>
      <xdr:col>18</xdr:col>
      <xdr:colOff>659130</xdr:colOff>
      <xdr:row>40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0D58738-F8CC-4466-8203-86E346ED75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rshan Meti" refreshedDate="46270.502292013887" backgroundQuery="1" createdVersion="8" refreshedVersion="8" minRefreshableVersion="3" recordCount="0" supportSubquery="1" supportAdvancedDrill="1" xr:uid="{6B0CE925-0DFE-4EB7-9A8D-01E78CAE048D}">
  <cacheSource type="external" connectionId="1"/>
  <cacheFields count="2">
    <cacheField name="[SalesDataTable].[Category].[Category]" caption="Category" numFmtId="0" hierarchy="9" level="1">
      <sharedItems count="3">
        <s v="Furniture"/>
        <s v="Office Supplies"/>
        <s v="Technology"/>
      </sharedItems>
    </cacheField>
    <cacheField name="[Measures].[Sum of Sales]" caption="Sum of Sales" numFmtId="0" hierarchy="22" level="32767"/>
  </cacheFields>
  <cacheHierarchies count="24">
    <cacheHierarchy uniqueName="[SalesDataTable].[Order ID]" caption="Order ID" attribute="1" defaultMemberUniqueName="[SalesDataTable].[Order ID].[All]" allUniqueName="[SalesDataTable].[Order ID].[All]" dimensionUniqueName="[SalesDataTable]" displayFolder="" count="0" memberValueDatatype="130" unbalanced="0"/>
    <cacheHierarchy uniqueName="[SalesDataTable].[Order Date]" caption="Order Date" attribute="1" time="1" defaultMemberUniqueName="[SalesDataTable].[Order Date].[All]" allUniqueName="[SalesDataTable].[Order Date].[All]" dimensionUniqueName="[SalesDataTable]" displayFolder="" count="0" memberValueDatatype="7" unbalanced="0"/>
    <cacheHierarchy uniqueName="[SalesDataTable].[Ship Date]" caption="Ship Date" attribute="1" time="1" defaultMemberUniqueName="[SalesDataTable].[Ship Date].[All]" allUniqueName="[SalesDataTable].[Ship Date].[All]" dimensionUniqueName="[SalesDataTable]" displayFolder="" count="0" memberValueDatatype="7" unbalanced="0"/>
    <cacheHierarchy uniqueName="[SalesDataTable].[Customer ID]" caption="Customer ID" attribute="1" defaultMemberUniqueName="[SalesDataTable].[Customer ID].[All]" allUniqueName="[SalesDataTable].[Customer ID].[All]" dimensionUniqueName="[SalesDataTable]" displayFolder="" count="0" memberValueDatatype="130" unbalanced="0"/>
    <cacheHierarchy uniqueName="[SalesDataTable].[Customer Name]" caption="Customer Name" attribute="1" defaultMemberUniqueName="[SalesDataTable].[Customer Name].[All]" allUniqueName="[SalesDataTable].[Customer Name].[All]" dimensionUniqueName="[SalesDataTable]" displayFolder="" count="0" memberValueDatatype="130" unbalanced="0"/>
    <cacheHierarchy uniqueName="[SalesDataTable].[Segment]" caption="Segment" attribute="1" defaultMemberUniqueName="[SalesDataTable].[Segment].[All]" allUniqueName="[SalesDataTable].[Segment].[All]" dimensionUniqueName="[SalesDataTable]" displayFolder="" count="0" memberValueDatatype="130" unbalanced="0"/>
    <cacheHierarchy uniqueName="[SalesDataTable].[Region]" caption="Region" attribute="1" defaultMemberUniqueName="[SalesDataTable].[Region].[All]" allUniqueName="[SalesDataTable].[Region].[All]" dimensionUniqueName="[SalesDataTable]" displayFolder="" count="0" memberValueDatatype="130" unbalanced="0"/>
    <cacheHierarchy uniqueName="[SalesDataTable].[State]" caption="State" attribute="1" defaultMemberUniqueName="[SalesDataTable].[State].[All]" allUniqueName="[SalesDataTable].[State].[All]" dimensionUniqueName="[SalesDataTable]" displayFolder="" count="0" memberValueDatatype="130" unbalanced="0"/>
    <cacheHierarchy uniqueName="[SalesDataTable].[City]" caption="City" attribute="1" defaultMemberUniqueName="[SalesDataTable].[City].[All]" allUniqueName="[SalesDataTable].[City].[All]" dimensionUniqueName="[SalesDataTable]" displayFolder="" count="0" memberValueDatatype="130" unbalanced="0"/>
    <cacheHierarchy uniqueName="[SalesDataTable].[Category]" caption="Category" attribute="1" defaultMemberUniqueName="[SalesDataTable].[Category].[All]" allUniqueName="[SalesDataTable].[Category].[All]" dimensionUniqueName="[SalesDataTable]" displayFolder="" count="2" memberValueDatatype="130" unbalanced="0">
      <fieldsUsage count="2">
        <fieldUsage x="-1"/>
        <fieldUsage x="0"/>
      </fieldsUsage>
    </cacheHierarchy>
    <cacheHierarchy uniqueName="[SalesDataTable].[Sub-Category]" caption="Sub-Category" attribute="1" defaultMemberUniqueName="[SalesDataTable].[Sub-Category].[All]" allUniqueName="[SalesDataTable].[Sub-Category].[All]" dimensionUniqueName="[SalesDataTable]" displayFolder="" count="0" memberValueDatatype="130" unbalanced="0"/>
    <cacheHierarchy uniqueName="[SalesDataTable].[Product Name]" caption="Product Name" attribute="1" defaultMemberUniqueName="[SalesDataTable].[Product Name].[All]" allUniqueName="[SalesDataTable].[Product Name].[All]" dimensionUniqueName="[SalesDataTable]" displayFolder="" count="0" memberValueDatatype="130" unbalanced="0"/>
    <cacheHierarchy uniqueName="[SalesDataTable].[Unit Price]" caption="Unit Price" attribute="1" defaultMemberUniqueName="[SalesDataTable].[Unit Price].[All]" allUniqueName="[SalesDataTable].[Unit Price].[All]" dimensionUniqueName="[SalesDataTable]" displayFolder="" count="0" memberValueDatatype="5" unbalanced="0"/>
    <cacheHierarchy uniqueName="[SalesDataTable].[Quantity]" caption="Quantity" attribute="1" defaultMemberUniqueName="[SalesDataTable].[Quantity].[All]" allUniqueName="[SalesDataTable].[Quantity].[All]" dimensionUniqueName="[SalesDataTable]" displayFolder="" count="0" memberValueDatatype="20" unbalanced="0"/>
    <cacheHierarchy uniqueName="[SalesDataTable].[Discount]" caption="Discount" attribute="1" defaultMemberUniqueName="[SalesDataTable].[Discount].[All]" allUniqueName="[SalesDataTable].[Discount].[All]" dimensionUniqueName="[SalesDataTable]" displayFolder="" count="0" memberValueDatatype="5" unbalanced="0"/>
    <cacheHierarchy uniqueName="[SalesDataTable].[Sales]" caption="Sales" attribute="1" defaultMemberUniqueName="[SalesDataTable].[Sales].[All]" allUniqueName="[SalesDataTable].[Sales].[All]" dimensionUniqueName="[SalesDataTable]" displayFolder="" count="0" memberValueDatatype="5" unbalanced="0"/>
    <cacheHierarchy uniqueName="[SalesDataTable].[Profit]" caption="Profit" attribute="1" defaultMemberUniqueName="[SalesDataTable].[Profit].[All]" allUniqueName="[SalesDataTable].[Profit].[All]" dimensionUniqueName="[SalesDataTable]" displayFolder="" count="0" memberValueDatatype="5" unbalanced="0"/>
    <cacheHierarchy uniqueName="[SalesDataTable].[Order Date (Month)]" caption="Order Date (Month)" attribute="1" defaultMemberUniqueName="[SalesDataTable].[Order Date (Month)].[All]" allUniqueName="[SalesDataTable].[Order Date (Month)].[All]" dimensionUniqueName="[SalesDataTable]" displayFolder="" count="0" memberValueDatatype="130" unbalanced="0"/>
    <cacheHierarchy uniqueName="[SalesDataTable].[Order Date (Year)]" caption="Order Date (Year)" attribute="1" defaultMemberUniqueName="[SalesDataTable].[Order Date (Year)].[All]" allUniqueName="[SalesDataTable].[Order Date (Year)].[All]" dimensionUniqueName="[SalesDataTable]" displayFolder="" count="0" memberValueDatatype="130" unbalanced="0"/>
    <cacheHierarchy uniqueName="[SalesDataTable].[Order Date (Month Index)]" caption="Order Date (Month Index)" attribute="1" defaultMemberUniqueName="[SalesDataTable].[Order Date (Month Index)].[All]" allUniqueName="[SalesDataTable].[Order Date (Month Index)].[All]" dimensionUniqueName="[SalesDataTable]" displayFolder="" count="0" memberValueDatatype="20" unbalanced="0" hidden="1"/>
    <cacheHierarchy uniqueName="[Measures].[__XL_Count SalesDataTable]" caption="__XL_Count SalesDataTable" measure="1" displayFolder="" measureGroup="SalesDataTabl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lesDataTab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rofit]" caption="Sum of Profit" measure="1" displayFolder="" measureGroup="SalesData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2">
    <dimension measure="1" name="Measures" uniqueName="[Measures]" caption="Measures"/>
    <dimension name="SalesDataTable" uniqueName="[SalesDataTable]" caption="SalesDataTable"/>
  </dimensions>
  <measureGroups count="1">
    <measureGroup name="SalesDataTable" caption="SalesData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rshan Meti" refreshedDate="46270.502292592595" backgroundQuery="1" createdVersion="8" refreshedVersion="8" minRefreshableVersion="3" recordCount="0" supportSubquery="1" supportAdvancedDrill="1" xr:uid="{6E05D896-D1F3-4C2B-B513-A8CA16B23A7B}">
  <cacheSource type="external" connectionId="1"/>
  <cacheFields count="2">
    <cacheField name="[SalesDataTable].[Region].[Region]" caption="Region" numFmtId="0" hierarchy="6" level="1">
      <sharedItems count="4">
        <s v="East"/>
        <s v="North"/>
        <s v="South"/>
        <s v="West"/>
      </sharedItems>
    </cacheField>
    <cacheField name="[Measures].[Sum of Sales]" caption="Sum of Sales" numFmtId="0" hierarchy="22" level="32767"/>
  </cacheFields>
  <cacheHierarchies count="24">
    <cacheHierarchy uniqueName="[SalesDataTable].[Order ID]" caption="Order ID" attribute="1" defaultMemberUniqueName="[SalesDataTable].[Order ID].[All]" allUniqueName="[SalesDataTable].[Order ID].[All]" dimensionUniqueName="[SalesDataTable]" displayFolder="" count="0" memberValueDatatype="130" unbalanced="0"/>
    <cacheHierarchy uniqueName="[SalesDataTable].[Order Date]" caption="Order Date" attribute="1" time="1" defaultMemberUniqueName="[SalesDataTable].[Order Date].[All]" allUniqueName="[SalesDataTable].[Order Date].[All]" dimensionUniqueName="[SalesDataTable]" displayFolder="" count="0" memberValueDatatype="7" unbalanced="0"/>
    <cacheHierarchy uniqueName="[SalesDataTable].[Ship Date]" caption="Ship Date" attribute="1" time="1" defaultMemberUniqueName="[SalesDataTable].[Ship Date].[All]" allUniqueName="[SalesDataTable].[Ship Date].[All]" dimensionUniqueName="[SalesDataTable]" displayFolder="" count="0" memberValueDatatype="7" unbalanced="0"/>
    <cacheHierarchy uniqueName="[SalesDataTable].[Customer ID]" caption="Customer ID" attribute="1" defaultMemberUniqueName="[SalesDataTable].[Customer ID].[All]" allUniqueName="[SalesDataTable].[Customer ID].[All]" dimensionUniqueName="[SalesDataTable]" displayFolder="" count="0" memberValueDatatype="130" unbalanced="0"/>
    <cacheHierarchy uniqueName="[SalesDataTable].[Customer Name]" caption="Customer Name" attribute="1" defaultMemberUniqueName="[SalesDataTable].[Customer Name].[All]" allUniqueName="[SalesDataTable].[Customer Name].[All]" dimensionUniqueName="[SalesDataTable]" displayFolder="" count="0" memberValueDatatype="130" unbalanced="0"/>
    <cacheHierarchy uniqueName="[SalesDataTable].[Segment]" caption="Segment" attribute="1" defaultMemberUniqueName="[SalesDataTable].[Segment].[All]" allUniqueName="[SalesDataTable].[Segment].[All]" dimensionUniqueName="[SalesDataTable]" displayFolder="" count="0" memberValueDatatype="130" unbalanced="0"/>
    <cacheHierarchy uniqueName="[SalesDataTable].[Region]" caption="Region" attribute="1" defaultMemberUniqueName="[SalesDataTable].[Region].[All]" allUniqueName="[SalesDataTable].[Region].[All]" dimensionUniqueName="[SalesDataTable]" displayFolder="" count="2" memberValueDatatype="130" unbalanced="0">
      <fieldsUsage count="2">
        <fieldUsage x="-1"/>
        <fieldUsage x="0"/>
      </fieldsUsage>
    </cacheHierarchy>
    <cacheHierarchy uniqueName="[SalesDataTable].[State]" caption="State" attribute="1" defaultMemberUniqueName="[SalesDataTable].[State].[All]" allUniqueName="[SalesDataTable].[State].[All]" dimensionUniqueName="[SalesDataTable]" displayFolder="" count="0" memberValueDatatype="130" unbalanced="0"/>
    <cacheHierarchy uniqueName="[SalesDataTable].[City]" caption="City" attribute="1" defaultMemberUniqueName="[SalesDataTable].[City].[All]" allUniqueName="[SalesDataTable].[City].[All]" dimensionUniqueName="[SalesDataTable]" displayFolder="" count="0" memberValueDatatype="130" unbalanced="0"/>
    <cacheHierarchy uniqueName="[SalesDataTable].[Category]" caption="Category" attribute="1" defaultMemberUniqueName="[SalesDataTable].[Category].[All]" allUniqueName="[SalesDataTable].[Category].[All]" dimensionUniqueName="[SalesDataTable]" displayFolder="" count="0" memberValueDatatype="130" unbalanced="0"/>
    <cacheHierarchy uniqueName="[SalesDataTable].[Sub-Category]" caption="Sub-Category" attribute="1" defaultMemberUniqueName="[SalesDataTable].[Sub-Category].[All]" allUniqueName="[SalesDataTable].[Sub-Category].[All]" dimensionUniqueName="[SalesDataTable]" displayFolder="" count="0" memberValueDatatype="130" unbalanced="0"/>
    <cacheHierarchy uniqueName="[SalesDataTable].[Product Name]" caption="Product Name" attribute="1" defaultMemberUniqueName="[SalesDataTable].[Product Name].[All]" allUniqueName="[SalesDataTable].[Product Name].[All]" dimensionUniqueName="[SalesDataTable]" displayFolder="" count="0" memberValueDatatype="130" unbalanced="0"/>
    <cacheHierarchy uniqueName="[SalesDataTable].[Unit Price]" caption="Unit Price" attribute="1" defaultMemberUniqueName="[SalesDataTable].[Unit Price].[All]" allUniqueName="[SalesDataTable].[Unit Price].[All]" dimensionUniqueName="[SalesDataTable]" displayFolder="" count="0" memberValueDatatype="5" unbalanced="0"/>
    <cacheHierarchy uniqueName="[SalesDataTable].[Quantity]" caption="Quantity" attribute="1" defaultMemberUniqueName="[SalesDataTable].[Quantity].[All]" allUniqueName="[SalesDataTable].[Quantity].[All]" dimensionUniqueName="[SalesDataTable]" displayFolder="" count="0" memberValueDatatype="20" unbalanced="0"/>
    <cacheHierarchy uniqueName="[SalesDataTable].[Discount]" caption="Discount" attribute="1" defaultMemberUniqueName="[SalesDataTable].[Discount].[All]" allUniqueName="[SalesDataTable].[Discount].[All]" dimensionUniqueName="[SalesDataTable]" displayFolder="" count="0" memberValueDatatype="5" unbalanced="0"/>
    <cacheHierarchy uniqueName="[SalesDataTable].[Sales]" caption="Sales" attribute="1" defaultMemberUniqueName="[SalesDataTable].[Sales].[All]" allUniqueName="[SalesDataTable].[Sales].[All]" dimensionUniqueName="[SalesDataTable]" displayFolder="" count="0" memberValueDatatype="5" unbalanced="0"/>
    <cacheHierarchy uniqueName="[SalesDataTable].[Profit]" caption="Profit" attribute="1" defaultMemberUniqueName="[SalesDataTable].[Profit].[All]" allUniqueName="[SalesDataTable].[Profit].[All]" dimensionUniqueName="[SalesDataTable]" displayFolder="" count="0" memberValueDatatype="5" unbalanced="0"/>
    <cacheHierarchy uniqueName="[SalesDataTable].[Order Date (Month)]" caption="Order Date (Month)" attribute="1" defaultMemberUniqueName="[SalesDataTable].[Order Date (Month)].[All]" allUniqueName="[SalesDataTable].[Order Date (Month)].[All]" dimensionUniqueName="[SalesDataTable]" displayFolder="" count="0" memberValueDatatype="130" unbalanced="0"/>
    <cacheHierarchy uniqueName="[SalesDataTable].[Order Date (Year)]" caption="Order Date (Year)" attribute="1" defaultMemberUniqueName="[SalesDataTable].[Order Date (Year)].[All]" allUniqueName="[SalesDataTable].[Order Date (Year)].[All]" dimensionUniqueName="[SalesDataTable]" displayFolder="" count="0" memberValueDatatype="130" unbalanced="0"/>
    <cacheHierarchy uniqueName="[SalesDataTable].[Order Date (Month Index)]" caption="Order Date (Month Index)" attribute="1" defaultMemberUniqueName="[SalesDataTable].[Order Date (Month Index)].[All]" allUniqueName="[SalesDataTable].[Order Date (Month Index)].[All]" dimensionUniqueName="[SalesDataTable]" displayFolder="" count="0" memberValueDatatype="20" unbalanced="0" hidden="1"/>
    <cacheHierarchy uniqueName="[Measures].[__XL_Count SalesDataTable]" caption="__XL_Count SalesDataTable" measure="1" displayFolder="" measureGroup="SalesDataTabl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lesDataTab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rofit]" caption="Sum of Profit" measure="1" displayFolder="" measureGroup="SalesData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2">
    <dimension measure="1" name="Measures" uniqueName="[Measures]" caption="Measures"/>
    <dimension name="SalesDataTable" uniqueName="[SalesDataTable]" caption="SalesDataTable"/>
  </dimensions>
  <measureGroups count="1">
    <measureGroup name="SalesDataTable" caption="SalesData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rshan Meti" refreshedDate="46270.502293518519" backgroundQuery="1" createdVersion="8" refreshedVersion="8" minRefreshableVersion="3" recordCount="0" supportSubquery="1" supportAdvancedDrill="1" xr:uid="{1CF0C67A-E896-42D4-9B5C-99AF8A3BC0E6}">
  <cacheSource type="external" connectionId="1"/>
  <cacheFields count="2">
    <cacheField name="[SalesDataTable].[Sub-Category].[Sub-Category]" caption="Sub-Category" numFmtId="0" hierarchy="10" level="1">
      <sharedItems count="13">
        <s v="Accessories"/>
        <s v="Art"/>
        <s v="Binders"/>
        <s v="Bookcases"/>
        <s v="Chairs"/>
        <s v="Computers"/>
        <s v="Furnishings"/>
        <s v="Machines"/>
        <s v="Paper"/>
        <s v="Phones"/>
        <s v="Storage"/>
        <s v="Supplies"/>
        <s v="Tables"/>
      </sharedItems>
    </cacheField>
    <cacheField name="[Measures].[Sum of Profit]" caption="Sum of Profit" numFmtId="0" hierarchy="23" level="32767"/>
  </cacheFields>
  <cacheHierarchies count="24">
    <cacheHierarchy uniqueName="[SalesDataTable].[Order ID]" caption="Order ID" attribute="1" defaultMemberUniqueName="[SalesDataTable].[Order ID].[All]" allUniqueName="[SalesDataTable].[Order ID].[All]" dimensionUniqueName="[SalesDataTable]" displayFolder="" count="0" memberValueDatatype="130" unbalanced="0"/>
    <cacheHierarchy uniqueName="[SalesDataTable].[Order Date]" caption="Order Date" attribute="1" time="1" defaultMemberUniqueName="[SalesDataTable].[Order Date].[All]" allUniqueName="[SalesDataTable].[Order Date].[All]" dimensionUniqueName="[SalesDataTable]" displayFolder="" count="0" memberValueDatatype="7" unbalanced="0"/>
    <cacheHierarchy uniqueName="[SalesDataTable].[Ship Date]" caption="Ship Date" attribute="1" time="1" defaultMemberUniqueName="[SalesDataTable].[Ship Date].[All]" allUniqueName="[SalesDataTable].[Ship Date].[All]" dimensionUniqueName="[SalesDataTable]" displayFolder="" count="0" memberValueDatatype="7" unbalanced="0"/>
    <cacheHierarchy uniqueName="[SalesDataTable].[Customer ID]" caption="Customer ID" attribute="1" defaultMemberUniqueName="[SalesDataTable].[Customer ID].[All]" allUniqueName="[SalesDataTable].[Customer ID].[All]" dimensionUniqueName="[SalesDataTable]" displayFolder="" count="0" memberValueDatatype="130" unbalanced="0"/>
    <cacheHierarchy uniqueName="[SalesDataTable].[Customer Name]" caption="Customer Name" attribute="1" defaultMemberUniqueName="[SalesDataTable].[Customer Name].[All]" allUniqueName="[SalesDataTable].[Customer Name].[All]" dimensionUniqueName="[SalesDataTable]" displayFolder="" count="0" memberValueDatatype="130" unbalanced="0"/>
    <cacheHierarchy uniqueName="[SalesDataTable].[Segment]" caption="Segment" attribute="1" defaultMemberUniqueName="[SalesDataTable].[Segment].[All]" allUniqueName="[SalesDataTable].[Segment].[All]" dimensionUniqueName="[SalesDataTable]" displayFolder="" count="0" memberValueDatatype="130" unbalanced="0"/>
    <cacheHierarchy uniqueName="[SalesDataTable].[Region]" caption="Region" attribute="1" defaultMemberUniqueName="[SalesDataTable].[Region].[All]" allUniqueName="[SalesDataTable].[Region].[All]" dimensionUniqueName="[SalesDataTable]" displayFolder="" count="0" memberValueDatatype="130" unbalanced="0"/>
    <cacheHierarchy uniqueName="[SalesDataTable].[State]" caption="State" attribute="1" defaultMemberUniqueName="[SalesDataTable].[State].[All]" allUniqueName="[SalesDataTable].[State].[All]" dimensionUniqueName="[SalesDataTable]" displayFolder="" count="0" memberValueDatatype="130" unbalanced="0"/>
    <cacheHierarchy uniqueName="[SalesDataTable].[City]" caption="City" attribute="1" defaultMemberUniqueName="[SalesDataTable].[City].[All]" allUniqueName="[SalesDataTable].[City].[All]" dimensionUniqueName="[SalesDataTable]" displayFolder="" count="0" memberValueDatatype="130" unbalanced="0"/>
    <cacheHierarchy uniqueName="[SalesDataTable].[Category]" caption="Category" attribute="1" defaultMemberUniqueName="[SalesDataTable].[Category].[All]" allUniqueName="[SalesDataTable].[Category].[All]" dimensionUniqueName="[SalesDataTable]" displayFolder="" count="0" memberValueDatatype="130" unbalanced="0"/>
    <cacheHierarchy uniqueName="[SalesDataTable].[Sub-Category]" caption="Sub-Category" attribute="1" defaultMemberUniqueName="[SalesDataTable].[Sub-Category].[All]" allUniqueName="[SalesDataTable].[Sub-Category].[All]" dimensionUniqueName="[SalesDataTable]" displayFolder="" count="2" memberValueDatatype="130" unbalanced="0">
      <fieldsUsage count="2">
        <fieldUsage x="-1"/>
        <fieldUsage x="0"/>
      </fieldsUsage>
    </cacheHierarchy>
    <cacheHierarchy uniqueName="[SalesDataTable].[Product Name]" caption="Product Name" attribute="1" defaultMemberUniqueName="[SalesDataTable].[Product Name].[All]" allUniqueName="[SalesDataTable].[Product Name].[All]" dimensionUniqueName="[SalesDataTable]" displayFolder="" count="0" memberValueDatatype="130" unbalanced="0"/>
    <cacheHierarchy uniqueName="[SalesDataTable].[Unit Price]" caption="Unit Price" attribute="1" defaultMemberUniqueName="[SalesDataTable].[Unit Price].[All]" allUniqueName="[SalesDataTable].[Unit Price].[All]" dimensionUniqueName="[SalesDataTable]" displayFolder="" count="0" memberValueDatatype="5" unbalanced="0"/>
    <cacheHierarchy uniqueName="[SalesDataTable].[Quantity]" caption="Quantity" attribute="1" defaultMemberUniqueName="[SalesDataTable].[Quantity].[All]" allUniqueName="[SalesDataTable].[Quantity].[All]" dimensionUniqueName="[SalesDataTable]" displayFolder="" count="0" memberValueDatatype="20" unbalanced="0"/>
    <cacheHierarchy uniqueName="[SalesDataTable].[Discount]" caption="Discount" attribute="1" defaultMemberUniqueName="[SalesDataTable].[Discount].[All]" allUniqueName="[SalesDataTable].[Discount].[All]" dimensionUniqueName="[SalesDataTable]" displayFolder="" count="0" memberValueDatatype="5" unbalanced="0"/>
    <cacheHierarchy uniqueName="[SalesDataTable].[Sales]" caption="Sales" attribute="1" defaultMemberUniqueName="[SalesDataTable].[Sales].[All]" allUniqueName="[SalesDataTable].[Sales].[All]" dimensionUniqueName="[SalesDataTable]" displayFolder="" count="0" memberValueDatatype="5" unbalanced="0"/>
    <cacheHierarchy uniqueName="[SalesDataTable].[Profit]" caption="Profit" attribute="1" defaultMemberUniqueName="[SalesDataTable].[Profit].[All]" allUniqueName="[SalesDataTable].[Profit].[All]" dimensionUniqueName="[SalesDataTable]" displayFolder="" count="0" memberValueDatatype="5" unbalanced="0"/>
    <cacheHierarchy uniqueName="[SalesDataTable].[Order Date (Month)]" caption="Order Date (Month)" attribute="1" defaultMemberUniqueName="[SalesDataTable].[Order Date (Month)].[All]" allUniqueName="[SalesDataTable].[Order Date (Month)].[All]" dimensionUniqueName="[SalesDataTable]" displayFolder="" count="0" memberValueDatatype="130" unbalanced="0"/>
    <cacheHierarchy uniqueName="[SalesDataTable].[Order Date (Year)]" caption="Order Date (Year)" attribute="1" defaultMemberUniqueName="[SalesDataTable].[Order Date (Year)].[All]" allUniqueName="[SalesDataTable].[Order Date (Year)].[All]" dimensionUniqueName="[SalesDataTable]" displayFolder="" count="0" memberValueDatatype="130" unbalanced="0"/>
    <cacheHierarchy uniqueName="[SalesDataTable].[Order Date (Month Index)]" caption="Order Date (Month Index)" attribute="1" defaultMemberUniqueName="[SalesDataTable].[Order Date (Month Index)].[All]" allUniqueName="[SalesDataTable].[Order Date (Month Index)].[All]" dimensionUniqueName="[SalesDataTable]" displayFolder="" count="0" memberValueDatatype="20" unbalanced="0" hidden="1"/>
    <cacheHierarchy uniqueName="[Measures].[__XL_Count SalesDataTable]" caption="__XL_Count SalesDataTable" measure="1" displayFolder="" measureGroup="SalesDataTabl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lesDataTabl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rofit]" caption="Sum of Profit" measure="1" displayFolder="" measureGroup="SalesDataTab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2">
    <dimension measure="1" name="Measures" uniqueName="[Measures]" caption="Measures"/>
    <dimension name="SalesDataTable" uniqueName="[SalesDataTable]" caption="SalesDataTable"/>
  </dimensions>
  <measureGroups count="1">
    <measureGroup name="SalesDataTable" caption="SalesData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rshan Meti" refreshedDate="46270.502294675927" backgroundQuery="1" createdVersion="8" refreshedVersion="8" minRefreshableVersion="3" recordCount="0" supportSubquery="1" supportAdvancedDrill="1" xr:uid="{7ECE8D8A-6AAE-4017-8118-53498FC06135}">
  <cacheSource type="external" connectionId="1"/>
  <cacheFields count="4">
    <cacheField name="[SalesDataTable].[Order Date].[Order Date]" caption="Order Date" numFmtId="0" hierarchy="1" level="1">
      <sharedItems containsSemiMixedTypes="0" containsNonDate="0" containsDate="1" containsString="0" minDate="2025-01-04T00:00:00" maxDate="2026-01-01T00:00:00" count="268">
        <d v="2025-01-04T00:00:00"/>
        <d v="2025-01-05T00:00:00"/>
        <d v="2025-01-07T00:00:00"/>
        <d v="2025-01-09T00:00:00"/>
        <d v="2025-01-10T00:00:00"/>
        <d v="2025-01-11T00:00:00"/>
        <d v="2025-01-12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3T00:00:00"/>
        <d v="2025-01-24T00:00:00"/>
        <d v="2025-01-25T00:00:00"/>
        <d v="2025-01-27T00:00:00"/>
        <d v="2025-01-28T00:00:00"/>
        <d v="2025-01-29T00:00:00"/>
        <d v="2025-01-30T00:00:00"/>
        <d v="2025-01-31T00:00:00"/>
        <d v="2025-02-02T00:00:00"/>
        <d v="2025-02-03T00:00:00"/>
        <d v="2025-02-06T00:00:00"/>
        <d v="2025-02-07T00:00:00"/>
        <d v="2025-02-08T00:00:00"/>
        <d v="2025-02-11T00:00:00"/>
        <d v="2025-02-13T00:00:00"/>
        <d v="2025-02-14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6T00:00:00"/>
        <d v="2025-02-27T00:00:00"/>
        <d v="2025-03-02T00:00:00"/>
        <d v="2025-03-05T00:00:00"/>
        <d v="2025-03-06T00:00:00"/>
        <d v="2025-03-07T00:00:00"/>
        <d v="2025-03-09T00:00:00"/>
        <d v="2025-03-10T00:00:00"/>
        <d v="2025-03-11T00:00:00"/>
        <d v="2025-03-12T00:00:00"/>
        <d v="2025-03-13T00:00:00"/>
        <d v="2025-03-15T00:00:00"/>
        <d v="2025-03-16T00:00:00"/>
        <d v="2025-03-17T00:00:00"/>
        <d v="2025-03-18T00:00:00"/>
        <d v="2025-03-19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6T00:00:00"/>
        <d v="2025-04-07T00:00:00"/>
        <d v="2025-04-08T00:00:00"/>
        <d v="2025-04-09T00:00:00"/>
        <d v="2025-04-10T00:00:00"/>
        <d v="2025-04-11T00:00:00"/>
        <d v="2025-04-13T00:00:00"/>
        <d v="2025-04-14T00:00:00"/>
        <d v="2025-04-15T00:00:00"/>
        <d v="2025-04-17T00:00:00"/>
        <d v="2025-04-18T00:00:00"/>
        <d v="2025-04-19T00:00:00"/>
        <d v="2025-04-20T00:00:00"/>
        <d v="2025-04-23T00:00:00"/>
        <d v="2025-04-24T00:00:00"/>
        <d v="2025-04-27T00:00:00"/>
        <d v="2025-04-28T00:00:00"/>
        <d v="2025-04-29T00:00:00"/>
        <d v="2025-04-30T00:00:00"/>
        <d v="2025-05-03T00:00:00"/>
        <d v="2025-05-05T00:00:00"/>
        <d v="2025-05-06T00:00:00"/>
        <d v="2025-05-08T00:00:00"/>
        <d v="2025-05-09T00:00:00"/>
        <d v="2025-05-10T00:00:00"/>
        <d v="2025-05-11T00:00:00"/>
        <d v="2025-05-12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3T00:00:00"/>
        <d v="2025-05-24T00:00:00"/>
        <d v="2025-05-25T00:00:00"/>
        <d v="2025-05-26T00:00:00"/>
        <d v="2025-05-27T00:00:00"/>
        <d v="2025-05-28T00:00:00"/>
        <d v="2025-05-30T00:00:00"/>
        <d v="2025-06-01T00:00:00"/>
        <d v="2025-06-02T00:00:00"/>
        <d v="2025-06-03T00:00:00"/>
        <d v="2025-06-04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7T00:00:00"/>
        <d v="2025-06-19T00:00:00"/>
        <d v="2025-06-20T00:00:00"/>
        <d v="2025-06-21T00:00:00"/>
        <d v="2025-06-22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8T00:00:00"/>
        <d v="2025-07-10T00:00:00"/>
        <d v="2025-07-12T00:00:00"/>
        <d v="2025-07-14T00:00:00"/>
        <d v="2025-07-15T00:00:00"/>
        <d v="2025-07-16T00:00:00"/>
        <d v="2025-07-17T00:00:00"/>
        <d v="2025-07-18T00:00:00"/>
        <d v="2025-07-19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7T00:00:00"/>
        <d v="2025-08-08T00:00:00"/>
        <d v="2025-08-09T00:00:00"/>
        <d v="2025-08-10T00:00:00"/>
        <d v="2025-08-11T00:00:00"/>
        <d v="2025-08-13T00:00:00"/>
        <d v="2025-08-14T00:00:00"/>
        <d v="2025-08-15T00:00:00"/>
        <d v="2025-08-16T00:00:00"/>
        <d v="2025-08-18T00:00:00"/>
        <d v="2025-08-21T00:00:00"/>
        <d v="2025-08-25T00:00:00"/>
        <d v="2025-08-26T00:00:00"/>
        <d v="2025-08-29T00:00:00"/>
        <d v="2025-08-30T00:00:00"/>
        <d v="2025-09-01T00:00:00"/>
        <d v="2025-09-03T00:00:00"/>
        <d v="2025-09-05T00:00:00"/>
        <d v="2025-09-06T00:00:00"/>
        <d v="2025-09-08T00:00:00"/>
        <d v="2025-09-09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9T00:00:00"/>
        <d v="2025-09-21T00:00:00"/>
        <d v="2025-09-22T00:00:00"/>
        <d v="2025-09-23T00:00:00"/>
        <d v="2025-09-25T00:00:00"/>
        <d v="2025-09-26T00:00:00"/>
        <d v="2025-09-28T00:00:00"/>
        <d v="2025-09-29T00:00:00"/>
        <d v="2025-09-30T00:00:00"/>
        <d v="2025-10-01T00:00:00"/>
        <d v="2025-10-02T00:00:00"/>
        <d v="2025-10-03T00:00:00"/>
        <d v="2025-10-05T00:00:00"/>
        <d v="2025-10-06T00:00:00"/>
        <d v="2025-10-07T00:00:00"/>
        <d v="2025-10-08T00:00:00"/>
        <d v="2025-10-09T00:00:00"/>
        <d v="2025-10-11T00:00:00"/>
        <d v="2025-10-13T00:00:00"/>
        <d v="2025-10-14T00:00:00"/>
        <d v="2025-10-16T00:00:00"/>
        <d v="2025-10-17T00:00:00"/>
        <d v="2025-10-20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5T00:00:00"/>
        <d v="2025-11-08T00:00:00"/>
        <d v="2025-11-09T00:00:00"/>
        <d v="2025-11-10T00:00:00"/>
        <d v="2025-11-11T00:00:00"/>
        <d v="2025-11-14T00:00:00"/>
        <d v="2025-11-15T00:00:00"/>
        <d v="2025-11-17T00:00:00"/>
        <d v="2025-11-18T00:00:00"/>
        <d v="2025-11-20T00:00:00"/>
        <d v="2025-11-21T00:00:00"/>
        <d v="2025-11-23T00:00:00"/>
        <d v="2025-11-24T00:00:00"/>
        <d v="2025-11-25T00:00:00"/>
        <d v="2025-11-26T00:00:00"/>
        <d v="2025-11-28T00:00:00"/>
        <d v="2025-11-30T00:00:00"/>
        <d v="2025-12-01T00:00:00"/>
        <d v="2025-12-04T00:00:00"/>
        <d v="2025-12-05T00:00:00"/>
        <d v="2025-12-06T00:00:00"/>
        <d v="2025-12-07T00:00:00"/>
        <d v="2025-12-08T00:00:00"/>
        <d v="2025-12-09T00:00:00"/>
        <d v="2025-12-11T00:00:00"/>
        <d v="2025-12-12T00:00:00"/>
        <d v="2025-12-14T00:00:00"/>
        <d v="2025-12-15T00:00:00"/>
        <d v="2025-12-17T00:00:00"/>
        <d v="2025-12-19T00:00:00"/>
        <d v="2025-12-20T00:00:00"/>
        <d v="2025-12-21T00:00:00"/>
        <d v="2025-12-22T00:00:00"/>
        <d v="2025-12-23T00:00:00"/>
        <d v="2025-12-25T00:00:00"/>
        <d v="2025-12-26T00:00:00"/>
        <d v="2025-12-27T00:00:00"/>
        <d v="2025-12-28T00:00:00"/>
        <d v="2025-12-29T00:00:00"/>
        <d v="2025-12-31T00:00:00"/>
      </sharedItems>
    </cacheField>
    <cacheField name="[Measures].[Sum of Sales]" caption="Sum of Sales" numFmtId="0" hierarchy="22" level="32767"/>
    <cacheField name="[SalesDataTable].[Order Date (Month)].[Order Date (Month)]" caption="Order Date (Month)" numFmtId="0" hierarchy="17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SalesDataTable].[Order Date (Year)].[Order Date (Year)]" caption="Order Date (Year)" numFmtId="0" hierarchy="18" level="1">
      <sharedItems count="1">
        <s v="2025"/>
      </sharedItems>
    </cacheField>
  </cacheFields>
  <cacheHierarchies count="24">
    <cacheHierarchy uniqueName="[SalesDataTable].[Order ID]" caption="Order ID" attribute="1" defaultMemberUniqueName="[SalesDataTable].[Order ID].[All]" allUniqueName="[SalesDataTable].[Order ID].[All]" dimensionUniqueName="[SalesDataTable]" displayFolder="" count="0" memberValueDatatype="130" unbalanced="0"/>
    <cacheHierarchy uniqueName="[SalesDataTable].[Order Date]" caption="Order Date" attribute="1" time="1" defaultMemberUniqueName="[SalesDataTable].[Order Date].[All]" allUniqueName="[SalesDataTable].[Order Date].[All]" dimensionUniqueName="[SalesDataTable]" displayFolder="" count="2" memberValueDatatype="7" unbalanced="0">
      <fieldsUsage count="2">
        <fieldUsage x="-1"/>
        <fieldUsage x="0"/>
      </fieldsUsage>
    </cacheHierarchy>
    <cacheHierarchy uniqueName="[SalesDataTable].[Ship Date]" caption="Ship Date" attribute="1" time="1" defaultMemberUniqueName="[SalesDataTable].[Ship Date].[All]" allUniqueName="[SalesDataTable].[Ship Date].[All]" dimensionUniqueName="[SalesDataTable]" displayFolder="" count="0" memberValueDatatype="7" unbalanced="0"/>
    <cacheHierarchy uniqueName="[SalesDataTable].[Customer ID]" caption="Customer ID" attribute="1" defaultMemberUniqueName="[SalesDataTable].[Customer ID].[All]" allUniqueName="[SalesDataTable].[Customer ID].[All]" dimensionUniqueName="[SalesDataTable]" displayFolder="" count="0" memberValueDatatype="130" unbalanced="0"/>
    <cacheHierarchy uniqueName="[SalesDataTable].[Customer Name]" caption="Customer Name" attribute="1" defaultMemberUniqueName="[SalesDataTable].[Customer Name].[All]" allUniqueName="[SalesDataTable].[Customer Name].[All]" dimensionUniqueName="[SalesDataTable]" displayFolder="" count="0" memberValueDatatype="130" unbalanced="0"/>
    <cacheHierarchy uniqueName="[SalesDataTable].[Segment]" caption="Segment" attribute="1" defaultMemberUniqueName="[SalesDataTable].[Segment].[All]" allUniqueName="[SalesDataTable].[Segment].[All]" dimensionUniqueName="[SalesDataTable]" displayFolder="" count="0" memberValueDatatype="130" unbalanced="0"/>
    <cacheHierarchy uniqueName="[SalesDataTable].[Region]" caption="Region" attribute="1" defaultMemberUniqueName="[SalesDataTable].[Region].[All]" allUniqueName="[SalesDataTable].[Region].[All]" dimensionUniqueName="[SalesDataTable]" displayFolder="" count="0" memberValueDatatype="130" unbalanced="0"/>
    <cacheHierarchy uniqueName="[SalesDataTable].[State]" caption="State" attribute="1" defaultMemberUniqueName="[SalesDataTable].[State].[All]" allUniqueName="[SalesDataTable].[State].[All]" dimensionUniqueName="[SalesDataTable]" displayFolder="" count="0" memberValueDatatype="130" unbalanced="0"/>
    <cacheHierarchy uniqueName="[SalesDataTable].[City]" caption="City" attribute="1" defaultMemberUniqueName="[SalesDataTable].[City].[All]" allUniqueName="[SalesDataTable].[City].[All]" dimensionUniqueName="[SalesDataTable]" displayFolder="" count="0" memberValueDatatype="130" unbalanced="0"/>
    <cacheHierarchy uniqueName="[SalesDataTable].[Category]" caption="Category" attribute="1" defaultMemberUniqueName="[SalesDataTable].[Category].[All]" allUniqueName="[SalesDataTable].[Category].[All]" dimensionUniqueName="[SalesDataTable]" displayFolder="" count="0" memberValueDatatype="130" unbalanced="0"/>
    <cacheHierarchy uniqueName="[SalesDataTable].[Sub-Category]" caption="Sub-Category" attribute="1" defaultMemberUniqueName="[SalesDataTable].[Sub-Category].[All]" allUniqueName="[SalesDataTable].[Sub-Category].[All]" dimensionUniqueName="[SalesDataTable]" displayFolder="" count="0" memberValueDatatype="130" unbalanced="0"/>
    <cacheHierarchy uniqueName="[SalesDataTable].[Product Name]" caption="Product Name" attribute="1" defaultMemberUniqueName="[SalesDataTable].[Product Name].[All]" allUniqueName="[SalesDataTable].[Product Name].[All]" dimensionUniqueName="[SalesDataTable]" displayFolder="" count="0" memberValueDatatype="130" unbalanced="0"/>
    <cacheHierarchy uniqueName="[SalesDataTable].[Unit Price]" caption="Unit Price" attribute="1" defaultMemberUniqueName="[SalesDataTable].[Unit Price].[All]" allUniqueName="[SalesDataTable].[Unit Price].[All]" dimensionUniqueName="[SalesDataTable]" displayFolder="" count="0" memberValueDatatype="5" unbalanced="0"/>
    <cacheHierarchy uniqueName="[SalesDataTable].[Quantity]" caption="Quantity" attribute="1" defaultMemberUniqueName="[SalesDataTable].[Quantity].[All]" allUniqueName="[SalesDataTable].[Quantity].[All]" dimensionUniqueName="[SalesDataTable]" displayFolder="" count="0" memberValueDatatype="20" unbalanced="0"/>
    <cacheHierarchy uniqueName="[SalesDataTable].[Discount]" caption="Discount" attribute="1" defaultMemberUniqueName="[SalesDataTable].[Discount].[All]" allUniqueName="[SalesDataTable].[Discount].[All]" dimensionUniqueName="[SalesDataTable]" displayFolder="" count="0" memberValueDatatype="5" unbalanced="0"/>
    <cacheHierarchy uniqueName="[SalesDataTable].[Sales]" caption="Sales" attribute="1" defaultMemberUniqueName="[SalesDataTable].[Sales].[All]" allUniqueName="[SalesDataTable].[Sales].[All]" dimensionUniqueName="[SalesDataTable]" displayFolder="" count="0" memberValueDatatype="5" unbalanced="0"/>
    <cacheHierarchy uniqueName="[SalesDataTable].[Profit]" caption="Profit" attribute="1" defaultMemberUniqueName="[SalesDataTable].[Profit].[All]" allUniqueName="[SalesDataTable].[Profit].[All]" dimensionUniqueName="[SalesDataTable]" displayFolder="" count="0" memberValueDatatype="5" unbalanced="0"/>
    <cacheHierarchy uniqueName="[SalesDataTable].[Order Date (Month)]" caption="Order Date (Month)" attribute="1" defaultMemberUniqueName="[SalesDataTable].[Order Date (Month)].[All]" allUniqueName="[SalesDataTable].[Order Date (Month)].[All]" dimensionUniqueName="[SalesDataTable]" displayFolder="" count="2" memberValueDatatype="130" unbalanced="0">
      <fieldsUsage count="2">
        <fieldUsage x="-1"/>
        <fieldUsage x="2"/>
      </fieldsUsage>
    </cacheHierarchy>
    <cacheHierarchy uniqueName="[SalesDataTable].[Order Date (Year)]" caption="Order Date (Year)" attribute="1" defaultMemberUniqueName="[SalesDataTable].[Order Date (Year)].[All]" allUniqueName="[SalesDataTable].[Order Date (Year)].[All]" dimensionUniqueName="[SalesDataTable]" displayFolder="" count="2" memberValueDatatype="130" unbalanced="0">
      <fieldsUsage count="2">
        <fieldUsage x="-1"/>
        <fieldUsage x="3"/>
      </fieldsUsage>
    </cacheHierarchy>
    <cacheHierarchy uniqueName="[SalesDataTable].[Order Date (Month Index)]" caption="Order Date (Month Index)" attribute="1" defaultMemberUniqueName="[SalesDataTable].[Order Date (Month Index)].[All]" allUniqueName="[SalesDataTable].[Order Date (Month Index)].[All]" dimensionUniqueName="[SalesDataTable]" displayFolder="" count="0" memberValueDatatype="20" unbalanced="0" hidden="1"/>
    <cacheHierarchy uniqueName="[Measures].[__XL_Count SalesDataTable]" caption="__XL_Count SalesDataTable" measure="1" displayFolder="" measureGroup="SalesDataTabl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lesDataTab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rofit]" caption="Sum of Profit" measure="1" displayFolder="" measureGroup="SalesData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2">
    <dimension measure="1" name="Measures" uniqueName="[Measures]" caption="Measures"/>
    <dimension name="SalesDataTable" uniqueName="[SalesDataTable]" caption="SalesDataTable"/>
  </dimensions>
  <measureGroups count="1">
    <measureGroup name="SalesDataTable" caption="SalesData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rshan Meti" refreshedDate="46270.504680787039" backgroundQuery="1" createdVersion="8" refreshedVersion="8" minRefreshableVersion="3" recordCount="0" supportSubquery="1" supportAdvancedDrill="1" xr:uid="{291A213E-5887-4B93-A356-C7179FBC78EE}">
  <cacheSource type="external" connectionId="1"/>
  <cacheFields count="2">
    <cacheField name="[SalesDataTable].[Segment].[Segment]" caption="Segment" numFmtId="0" hierarchy="5" level="1">
      <sharedItems count="3">
        <s v="Consumer"/>
        <s v="Corporate"/>
        <s v="Home Office"/>
      </sharedItems>
    </cacheField>
    <cacheField name="[Measures].[Sum of Sales]" caption="Sum of Sales" numFmtId="0" hierarchy="22" level="32767"/>
  </cacheFields>
  <cacheHierarchies count="24">
    <cacheHierarchy uniqueName="[SalesDataTable].[Order ID]" caption="Order ID" attribute="1" defaultMemberUniqueName="[SalesDataTable].[Order ID].[All]" allUniqueName="[SalesDataTable].[Order ID].[All]" dimensionUniqueName="[SalesDataTable]" displayFolder="" count="0" memberValueDatatype="130" unbalanced="0"/>
    <cacheHierarchy uniqueName="[SalesDataTable].[Order Date]" caption="Order Date" attribute="1" time="1" defaultMemberUniqueName="[SalesDataTable].[Order Date].[All]" allUniqueName="[SalesDataTable].[Order Date].[All]" dimensionUniqueName="[SalesDataTable]" displayFolder="" count="0" memberValueDatatype="7" unbalanced="0"/>
    <cacheHierarchy uniqueName="[SalesDataTable].[Ship Date]" caption="Ship Date" attribute="1" time="1" defaultMemberUniqueName="[SalesDataTable].[Ship Date].[All]" allUniqueName="[SalesDataTable].[Ship Date].[All]" dimensionUniqueName="[SalesDataTable]" displayFolder="" count="0" memberValueDatatype="7" unbalanced="0"/>
    <cacheHierarchy uniqueName="[SalesDataTable].[Customer ID]" caption="Customer ID" attribute="1" defaultMemberUniqueName="[SalesDataTable].[Customer ID].[All]" allUniqueName="[SalesDataTable].[Customer ID].[All]" dimensionUniqueName="[SalesDataTable]" displayFolder="" count="0" memberValueDatatype="130" unbalanced="0"/>
    <cacheHierarchy uniqueName="[SalesDataTable].[Customer Name]" caption="Customer Name" attribute="1" defaultMemberUniqueName="[SalesDataTable].[Customer Name].[All]" allUniqueName="[SalesDataTable].[Customer Name].[All]" dimensionUniqueName="[SalesDataTable]" displayFolder="" count="0" memberValueDatatype="130" unbalanced="0"/>
    <cacheHierarchy uniqueName="[SalesDataTable].[Segment]" caption="Segment" attribute="1" defaultMemberUniqueName="[SalesDataTable].[Segment].[All]" allUniqueName="[SalesDataTable].[Segment].[All]" dimensionUniqueName="[SalesDataTable]" displayFolder="" count="2" memberValueDatatype="130" unbalanced="0">
      <fieldsUsage count="2">
        <fieldUsage x="-1"/>
        <fieldUsage x="0"/>
      </fieldsUsage>
    </cacheHierarchy>
    <cacheHierarchy uniqueName="[SalesDataTable].[Region]" caption="Region" attribute="1" defaultMemberUniqueName="[SalesDataTable].[Region].[All]" allUniqueName="[SalesDataTable].[Region].[All]" dimensionUniqueName="[SalesDataTable]" displayFolder="" count="0" memberValueDatatype="130" unbalanced="0"/>
    <cacheHierarchy uniqueName="[SalesDataTable].[State]" caption="State" attribute="1" defaultMemberUniqueName="[SalesDataTable].[State].[All]" allUniqueName="[SalesDataTable].[State].[All]" dimensionUniqueName="[SalesDataTable]" displayFolder="" count="0" memberValueDatatype="130" unbalanced="0"/>
    <cacheHierarchy uniqueName="[SalesDataTable].[City]" caption="City" attribute="1" defaultMemberUniqueName="[SalesDataTable].[City].[All]" allUniqueName="[SalesDataTable].[City].[All]" dimensionUniqueName="[SalesDataTable]" displayFolder="" count="0" memberValueDatatype="130" unbalanced="0"/>
    <cacheHierarchy uniqueName="[SalesDataTable].[Category]" caption="Category" attribute="1" defaultMemberUniqueName="[SalesDataTable].[Category].[All]" allUniqueName="[SalesDataTable].[Category].[All]" dimensionUniqueName="[SalesDataTable]" displayFolder="" count="0" memberValueDatatype="130" unbalanced="0"/>
    <cacheHierarchy uniqueName="[SalesDataTable].[Sub-Category]" caption="Sub-Category" attribute="1" defaultMemberUniqueName="[SalesDataTable].[Sub-Category].[All]" allUniqueName="[SalesDataTable].[Sub-Category].[All]" dimensionUniqueName="[SalesDataTable]" displayFolder="" count="0" memberValueDatatype="130" unbalanced="0"/>
    <cacheHierarchy uniqueName="[SalesDataTable].[Product Name]" caption="Product Name" attribute="1" defaultMemberUniqueName="[SalesDataTable].[Product Name].[All]" allUniqueName="[SalesDataTable].[Product Name].[All]" dimensionUniqueName="[SalesDataTable]" displayFolder="" count="0" memberValueDatatype="130" unbalanced="0"/>
    <cacheHierarchy uniqueName="[SalesDataTable].[Unit Price]" caption="Unit Price" attribute="1" defaultMemberUniqueName="[SalesDataTable].[Unit Price].[All]" allUniqueName="[SalesDataTable].[Unit Price].[All]" dimensionUniqueName="[SalesDataTable]" displayFolder="" count="0" memberValueDatatype="5" unbalanced="0"/>
    <cacheHierarchy uniqueName="[SalesDataTable].[Quantity]" caption="Quantity" attribute="1" defaultMemberUniqueName="[SalesDataTable].[Quantity].[All]" allUniqueName="[SalesDataTable].[Quantity].[All]" dimensionUniqueName="[SalesDataTable]" displayFolder="" count="0" memberValueDatatype="20" unbalanced="0"/>
    <cacheHierarchy uniqueName="[SalesDataTable].[Discount]" caption="Discount" attribute="1" defaultMemberUniqueName="[SalesDataTable].[Discount].[All]" allUniqueName="[SalesDataTable].[Discount].[All]" dimensionUniqueName="[SalesDataTable]" displayFolder="" count="0" memberValueDatatype="5" unbalanced="0"/>
    <cacheHierarchy uniqueName="[SalesDataTable].[Sales]" caption="Sales" attribute="1" defaultMemberUniqueName="[SalesDataTable].[Sales].[All]" allUniqueName="[SalesDataTable].[Sales].[All]" dimensionUniqueName="[SalesDataTable]" displayFolder="" count="0" memberValueDatatype="5" unbalanced="0"/>
    <cacheHierarchy uniqueName="[SalesDataTable].[Profit]" caption="Profit" attribute="1" defaultMemberUniqueName="[SalesDataTable].[Profit].[All]" allUniqueName="[SalesDataTable].[Profit].[All]" dimensionUniqueName="[SalesDataTable]" displayFolder="" count="0" memberValueDatatype="5" unbalanced="0"/>
    <cacheHierarchy uniqueName="[SalesDataTable].[Order Date (Month)]" caption="Order Date (Month)" attribute="1" defaultMemberUniqueName="[SalesDataTable].[Order Date (Month)].[All]" allUniqueName="[SalesDataTable].[Order Date (Month)].[All]" dimensionUniqueName="[SalesDataTable]" displayFolder="" count="0" memberValueDatatype="130" unbalanced="0"/>
    <cacheHierarchy uniqueName="[SalesDataTable].[Order Date (Year)]" caption="Order Date (Year)" attribute="1" defaultMemberUniqueName="[SalesDataTable].[Order Date (Year)].[All]" allUniqueName="[SalesDataTable].[Order Date (Year)].[All]" dimensionUniqueName="[SalesDataTable]" displayFolder="" count="0" memberValueDatatype="130" unbalanced="0"/>
    <cacheHierarchy uniqueName="[SalesDataTable].[Order Date (Month Index)]" caption="Order Date (Month Index)" attribute="1" defaultMemberUniqueName="[SalesDataTable].[Order Date (Month Index)].[All]" allUniqueName="[SalesDataTable].[Order Date (Month Index)].[All]" dimensionUniqueName="[SalesDataTable]" displayFolder="" count="0" memberValueDatatype="20" unbalanced="0" hidden="1"/>
    <cacheHierarchy uniqueName="[Measures].[__XL_Count SalesDataTable]" caption="__XL_Count SalesDataTable" measure="1" displayFolder="" measureGroup="SalesDataTabl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lesDataTab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rofit]" caption="Sum of Profit" measure="1" displayFolder="" measureGroup="SalesData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2">
    <dimension measure="1" name="Measures" uniqueName="[Measures]" caption="Measures"/>
    <dimension name="SalesDataTable" uniqueName="[SalesDataTable]" caption="SalesDataTable"/>
  </dimensions>
  <measureGroups count="1">
    <measureGroup name="SalesDataTable" caption="SalesData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BBB519-1674-49B2-A511-3A3F43DB242E}" name="PivotTable1" cacheId="10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">
  <location ref="A3:B7" firstHeaderRow="1" firstDataRow="1" firstDataCol="1"/>
  <pivotFields count="2"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1" baseField="0" baseItem="0" numFmtId="16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eek1_Reporting_Fundamentals_Practice.xlsx!SalesDataTable">
        <x15:activeTabTopLevelEntity name="[SalesData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541F55-67FE-4D85-9156-7EBE28E7D375}" name="PivotTable3" cacheId="1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2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 v="1"/>
    </i>
    <i>
      <x v="2"/>
    </i>
    <i>
      <x/>
    </i>
    <i>
      <x v="3"/>
    </i>
    <i t="grand">
      <x/>
    </i>
  </rowItems>
  <colItems count="1">
    <i/>
  </colItems>
  <dataFields count="1">
    <dataField name="Sum of Sales" fld="1" baseField="0" baseItem="2" numFmtId="16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eek1_Reporting_Fundamentals_Practice.xlsx!SalesDataTable">
        <x15:activeTabTopLevelEntity name="[SalesData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3E370C-3C13-4FA8-824A-8563305FFD91}" name="PivotTable4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7" firstHeaderRow="1" firstDataRow="1" firstDataCol="1"/>
  <pivotFields count="2">
    <pivotField axis="axisRow" allDrilled="1" subtotalTop="0" showAll="0" sortType="descending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4">
    <i>
      <x v="5"/>
    </i>
    <i>
      <x v="9"/>
    </i>
    <i>
      <x v="12"/>
    </i>
    <i>
      <x v="4"/>
    </i>
    <i>
      <x v="7"/>
    </i>
    <i>
      <x v="3"/>
    </i>
    <i>
      <x v="6"/>
    </i>
    <i>
      <x/>
    </i>
    <i>
      <x v="1"/>
    </i>
    <i>
      <x v="11"/>
    </i>
    <i>
      <x v="10"/>
    </i>
    <i>
      <x v="8"/>
    </i>
    <i>
      <x v="2"/>
    </i>
    <i t="grand">
      <x/>
    </i>
  </rowItems>
  <colItems count="1">
    <i/>
  </colItems>
  <dataFields count="1">
    <dataField name="Sum of Profit" fld="1" baseField="0" baseItem="1" numFmtId="16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eek1_Reporting_Fundamentals_Practice.xlsx!SalesDataTable">
        <x15:activeTabTopLevelEntity name="[SalesData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C13FA8-20E8-4AA3-9CE3-A3077B3A9849}" name="PivotTable5" cacheId="11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">
  <location ref="A3:B17" firstHeaderRow="1" firstDataRow="1" firstDataCol="1"/>
  <pivotFields count="4">
    <pivotField axis="axisRow" allDrilled="1" subtotalTop="0" showAll="0" sortType="descending" defaultSubtotal="0" defaultAttributeDrillState="1">
      <items count="2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 defaultAttributeDrillState="1">
      <items count="1">
        <item x="0"/>
      </items>
    </pivotField>
  </pivotFields>
  <rowFields count="3">
    <field x="3"/>
    <field x="2"/>
    <field x="0"/>
  </rowFields>
  <rowItems count="1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Sales" fld="1" baseField="0" baseItem="170" numFmtId="16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18"/>
    <rowHierarchyUsage hierarchyUsage="17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eek1_Reporting_Fundamentals_Practice.xlsx!SalesDataTable">
        <x15:activeTabTopLevelEntity name="[SalesData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592F68-C57A-4FC4-95D8-C8BE9908220E}" name="PivotTable7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2"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Sales" fld="1" baseField="0" baseItem="1" numFmtId="166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eek1_Reporting_Fundamentals_Practice.xlsx!SalesDataTable">
        <x15:activeTabTopLevelEntity name="[SalesData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Table" displayName="SalesDataTable" ref="A1:Q501" totalsRowShown="0">
  <tableColumns count="17">
    <tableColumn id="1" xr3:uid="{00000000-0010-0000-0000-000001000000}" name="Order ID"/>
    <tableColumn id="2" xr3:uid="{00000000-0010-0000-0000-000002000000}" name="Order Date"/>
    <tableColumn id="3" xr3:uid="{00000000-0010-0000-0000-000003000000}" name="Ship Date"/>
    <tableColumn id="4" xr3:uid="{00000000-0010-0000-0000-000004000000}" name="Customer ID"/>
    <tableColumn id="5" xr3:uid="{00000000-0010-0000-0000-000005000000}" name="Customer Name"/>
    <tableColumn id="6" xr3:uid="{00000000-0010-0000-0000-000006000000}" name="Segment"/>
    <tableColumn id="7" xr3:uid="{00000000-0010-0000-0000-000007000000}" name="Region"/>
    <tableColumn id="8" xr3:uid="{00000000-0010-0000-0000-000008000000}" name="State"/>
    <tableColumn id="9" xr3:uid="{00000000-0010-0000-0000-000009000000}" name="City"/>
    <tableColumn id="10" xr3:uid="{00000000-0010-0000-0000-00000A000000}" name="Category"/>
    <tableColumn id="11" xr3:uid="{00000000-0010-0000-0000-00000B000000}" name="Sub-Category"/>
    <tableColumn id="12" xr3:uid="{00000000-0010-0000-0000-00000C000000}" name="Product Name"/>
    <tableColumn id="13" xr3:uid="{00000000-0010-0000-0000-00000D000000}" name="Unit Price"/>
    <tableColumn id="14" xr3:uid="{00000000-0010-0000-0000-00000E000000}" name="Quantity"/>
    <tableColumn id="15" xr3:uid="{00000000-0010-0000-0000-00000F000000}" name="Discount"/>
    <tableColumn id="16" xr3:uid="{00000000-0010-0000-0000-000010000000}" name="Sales"/>
    <tableColumn id="17" xr3:uid="{00000000-0010-0000-0000-000011000000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sqref="A1:D1"/>
    </sheetView>
  </sheetViews>
  <sheetFormatPr defaultRowHeight="13.8"/>
  <cols>
    <col min="1" max="1" width="10" customWidth="1"/>
    <col min="2" max="2" width="30" customWidth="1"/>
    <col min="3" max="3" width="38" customWidth="1"/>
    <col min="4" max="4" width="16" customWidth="1"/>
  </cols>
  <sheetData>
    <row r="1" spans="1:4" ht="21">
      <c r="A1" s="7" t="s">
        <v>0</v>
      </c>
      <c r="B1" s="7"/>
      <c r="C1" s="7"/>
      <c r="D1" s="7"/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>
        <v>1</v>
      </c>
      <c r="B4" t="s">
        <v>5</v>
      </c>
      <c r="C4" t="s">
        <v>6</v>
      </c>
      <c r="D4" t="s">
        <v>7</v>
      </c>
    </row>
    <row r="5" spans="1:4">
      <c r="A5">
        <v>2</v>
      </c>
      <c r="B5" t="s">
        <v>8</v>
      </c>
      <c r="C5" t="s">
        <v>9</v>
      </c>
      <c r="D5" t="s">
        <v>7</v>
      </c>
    </row>
    <row r="6" spans="1:4">
      <c r="A6">
        <v>3</v>
      </c>
      <c r="B6" t="s">
        <v>10</v>
      </c>
      <c r="C6" t="s">
        <v>11</v>
      </c>
      <c r="D6" t="s">
        <v>7</v>
      </c>
    </row>
    <row r="7" spans="1:4">
      <c r="A7">
        <v>4</v>
      </c>
      <c r="B7" t="s">
        <v>12</v>
      </c>
      <c r="C7" t="s">
        <v>13</v>
      </c>
      <c r="D7" t="s">
        <v>7</v>
      </c>
    </row>
    <row r="8" spans="1:4">
      <c r="A8">
        <v>5</v>
      </c>
      <c r="B8" t="s">
        <v>14</v>
      </c>
      <c r="C8" t="s">
        <v>15</v>
      </c>
      <c r="D8" t="s">
        <v>7</v>
      </c>
    </row>
    <row r="9" spans="1:4">
      <c r="A9">
        <v>6</v>
      </c>
      <c r="B9" t="s">
        <v>16</v>
      </c>
      <c r="C9" t="s">
        <v>17</v>
      </c>
      <c r="D9" t="s">
        <v>7</v>
      </c>
    </row>
    <row r="10" spans="1:4">
      <c r="A10">
        <v>7</v>
      </c>
      <c r="B10" t="s">
        <v>18</v>
      </c>
      <c r="C10" t="s">
        <v>19</v>
      </c>
      <c r="D10" t="s">
        <v>7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BF14D-3A28-4A4E-992A-1BCF4D7AC0E3}">
  <dimension ref="A2:F30"/>
  <sheetViews>
    <sheetView workbookViewId="0">
      <selection activeCell="E39" sqref="E39"/>
    </sheetView>
  </sheetViews>
  <sheetFormatPr defaultRowHeight="13.8"/>
  <cols>
    <col min="1" max="1" width="13.3984375" bestFit="1" customWidth="1"/>
    <col min="2" max="2" width="12.3984375" bestFit="1" customWidth="1"/>
  </cols>
  <sheetData>
    <row r="2" spans="1:6">
      <c r="A2" s="12" t="s">
        <v>699</v>
      </c>
      <c r="B2" s="11"/>
    </row>
    <row r="3" spans="1:6">
      <c r="A3" s="9" t="s">
        <v>696</v>
      </c>
      <c r="B3" t="s">
        <v>698</v>
      </c>
    </row>
    <row r="4" spans="1:6">
      <c r="A4" s="10" t="s">
        <v>51</v>
      </c>
      <c r="B4" s="13">
        <v>375075.39</v>
      </c>
    </row>
    <row r="5" spans="1:6">
      <c r="A5" s="10" t="s">
        <v>60</v>
      </c>
      <c r="B5" s="13">
        <v>180651.51</v>
      </c>
    </row>
    <row r="6" spans="1:6">
      <c r="A6" s="10" t="s">
        <v>44</v>
      </c>
      <c r="B6" s="13">
        <v>9893.86</v>
      </c>
      <c r="F6" s="11"/>
    </row>
    <row r="7" spans="1:6">
      <c r="A7" s="10" t="s">
        <v>697</v>
      </c>
      <c r="B7" s="13">
        <v>565620.76</v>
      </c>
    </row>
    <row r="30" spans="1:1">
      <c r="A30" s="14" t="s">
        <v>700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F789D-27A5-4153-A67E-90930E4D5D6F}">
  <dimension ref="A3:B31"/>
  <sheetViews>
    <sheetView workbookViewId="0">
      <selection activeCell="S32" sqref="S32"/>
    </sheetView>
  </sheetViews>
  <sheetFormatPr defaultRowHeight="13.8"/>
  <cols>
    <col min="1" max="1" width="13.09765625" bestFit="1" customWidth="1"/>
    <col min="2" max="2" width="12.3984375" bestFit="1" customWidth="1"/>
  </cols>
  <sheetData>
    <row r="3" spans="1:2">
      <c r="A3" s="9" t="s">
        <v>696</v>
      </c>
      <c r="B3" t="s">
        <v>698</v>
      </c>
    </row>
    <row r="4" spans="1:2">
      <c r="A4" s="10" t="s">
        <v>41</v>
      </c>
      <c r="B4" s="13">
        <v>184239.57</v>
      </c>
    </row>
    <row r="5" spans="1:2">
      <c r="A5" s="10" t="s">
        <v>85</v>
      </c>
      <c r="B5" s="13">
        <v>128774.93</v>
      </c>
    </row>
    <row r="6" spans="1:2">
      <c r="A6" s="10" t="s">
        <v>57</v>
      </c>
      <c r="B6" s="13">
        <v>127023.83</v>
      </c>
    </row>
    <row r="7" spans="1:2">
      <c r="A7" s="10" t="s">
        <v>78</v>
      </c>
      <c r="B7" s="13">
        <v>125582.43</v>
      </c>
    </row>
    <row r="8" spans="1:2">
      <c r="A8" s="10" t="s">
        <v>697</v>
      </c>
      <c r="B8" s="13">
        <v>565620.76</v>
      </c>
    </row>
    <row r="30" spans="1:1">
      <c r="A30" t="s">
        <v>675</v>
      </c>
    </row>
    <row r="31" spans="1:1">
      <c r="A31" t="s">
        <v>41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804B6-958B-45BD-AE90-186B1853ACE0}">
  <dimension ref="A3:B38"/>
  <sheetViews>
    <sheetView workbookViewId="0">
      <selection activeCell="H35" sqref="H35"/>
    </sheetView>
  </sheetViews>
  <sheetFormatPr defaultRowHeight="13.8"/>
  <cols>
    <col min="1" max="1" width="13.09765625" bestFit="1" customWidth="1"/>
    <col min="2" max="2" width="12.3984375" bestFit="1" customWidth="1"/>
  </cols>
  <sheetData>
    <row r="3" spans="1:2">
      <c r="A3" s="9" t="s">
        <v>696</v>
      </c>
      <c r="B3" t="s">
        <v>702</v>
      </c>
    </row>
    <row r="4" spans="1:2">
      <c r="A4" s="10" t="s">
        <v>68</v>
      </c>
      <c r="B4" s="13">
        <v>32793.32</v>
      </c>
    </row>
    <row r="5" spans="1:2">
      <c r="A5" s="10" t="s">
        <v>125</v>
      </c>
      <c r="B5" s="13">
        <v>18246.490000000002</v>
      </c>
    </row>
    <row r="6" spans="1:2">
      <c r="A6" s="10" t="s">
        <v>116</v>
      </c>
      <c r="B6" s="13">
        <v>11992.4</v>
      </c>
    </row>
    <row r="7" spans="1:2">
      <c r="A7" s="10" t="s">
        <v>73</v>
      </c>
      <c r="B7" s="13">
        <v>9045</v>
      </c>
    </row>
    <row r="8" spans="1:2">
      <c r="A8" s="10" t="s">
        <v>102</v>
      </c>
      <c r="B8" s="13">
        <v>7793.2</v>
      </c>
    </row>
    <row r="9" spans="1:2">
      <c r="A9" s="10" t="s">
        <v>128</v>
      </c>
      <c r="B9" s="13">
        <v>4269.6899999999996</v>
      </c>
    </row>
    <row r="10" spans="1:2">
      <c r="A10" s="10" t="s">
        <v>61</v>
      </c>
      <c r="B10" s="13">
        <v>3529.9</v>
      </c>
    </row>
    <row r="11" spans="1:2">
      <c r="A11" s="10" t="s">
        <v>52</v>
      </c>
      <c r="B11" s="13">
        <v>2829.11</v>
      </c>
    </row>
    <row r="12" spans="1:2">
      <c r="A12" s="10" t="s">
        <v>143</v>
      </c>
      <c r="B12" s="13">
        <v>404.33</v>
      </c>
    </row>
    <row r="13" spans="1:2">
      <c r="A13" s="10" t="s">
        <v>140</v>
      </c>
      <c r="B13" s="13">
        <v>296.55</v>
      </c>
    </row>
    <row r="14" spans="1:2">
      <c r="A14" s="10" t="s">
        <v>165</v>
      </c>
      <c r="B14" s="13">
        <v>290.54000000000002</v>
      </c>
    </row>
    <row r="15" spans="1:2">
      <c r="A15" s="10" t="s">
        <v>110</v>
      </c>
      <c r="B15" s="13">
        <v>246.37</v>
      </c>
    </row>
    <row r="16" spans="1:2">
      <c r="A16" s="10" t="s">
        <v>45</v>
      </c>
      <c r="B16" s="13">
        <v>142.29</v>
      </c>
    </row>
    <row r="17" spans="1:2">
      <c r="A17" s="10" t="s">
        <v>697</v>
      </c>
      <c r="B17" s="13">
        <v>91879.19</v>
      </c>
    </row>
    <row r="37" spans="1:1">
      <c r="A37" t="s">
        <v>678</v>
      </c>
    </row>
    <row r="38" spans="1:1">
      <c r="A38" t="s">
        <v>68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CF03A-2CD5-4070-A245-D08F516974FA}">
  <dimension ref="A3:B37"/>
  <sheetViews>
    <sheetView workbookViewId="0">
      <selection activeCell="I20" sqref="I20"/>
    </sheetView>
  </sheetViews>
  <sheetFormatPr defaultRowHeight="13.8"/>
  <cols>
    <col min="1" max="1" width="13.09765625" bestFit="1" customWidth="1"/>
    <col min="2" max="2" width="12.3984375" bestFit="1" customWidth="1"/>
  </cols>
  <sheetData>
    <row r="3" spans="1:2">
      <c r="A3" s="9" t="s">
        <v>696</v>
      </c>
      <c r="B3" t="s">
        <v>698</v>
      </c>
    </row>
    <row r="4" spans="1:2">
      <c r="A4" s="10" t="s">
        <v>715</v>
      </c>
      <c r="B4" s="13"/>
    </row>
    <row r="5" spans="1:2">
      <c r="A5" s="15" t="s">
        <v>703</v>
      </c>
      <c r="B5" s="13">
        <v>24428.26</v>
      </c>
    </row>
    <row r="6" spans="1:2">
      <c r="A6" s="15" t="s">
        <v>704</v>
      </c>
      <c r="B6" s="13">
        <v>61619.71</v>
      </c>
    </row>
    <row r="7" spans="1:2">
      <c r="A7" s="15" t="s">
        <v>705</v>
      </c>
      <c r="B7" s="13">
        <v>38376.699999999997</v>
      </c>
    </row>
    <row r="8" spans="1:2">
      <c r="A8" s="15" t="s">
        <v>706</v>
      </c>
      <c r="B8" s="13">
        <v>40676.71</v>
      </c>
    </row>
    <row r="9" spans="1:2">
      <c r="A9" s="15" t="s">
        <v>707</v>
      </c>
      <c r="B9" s="13">
        <v>43129.07</v>
      </c>
    </row>
    <row r="10" spans="1:2">
      <c r="A10" s="15" t="s">
        <v>708</v>
      </c>
      <c r="B10" s="13">
        <v>61064.89</v>
      </c>
    </row>
    <row r="11" spans="1:2">
      <c r="A11" s="15" t="s">
        <v>709</v>
      </c>
      <c r="B11" s="13">
        <v>64826.01</v>
      </c>
    </row>
    <row r="12" spans="1:2">
      <c r="A12" s="15" t="s">
        <v>710</v>
      </c>
      <c r="B12" s="13">
        <v>48022.71</v>
      </c>
    </row>
    <row r="13" spans="1:2">
      <c r="A13" s="15" t="s">
        <v>711</v>
      </c>
      <c r="B13" s="13">
        <v>53065.32</v>
      </c>
    </row>
    <row r="14" spans="1:2">
      <c r="A14" s="15" t="s">
        <v>712</v>
      </c>
      <c r="B14" s="13">
        <v>27859.79</v>
      </c>
    </row>
    <row r="15" spans="1:2">
      <c r="A15" s="15" t="s">
        <v>713</v>
      </c>
      <c r="B15" s="13">
        <v>42778.61</v>
      </c>
    </row>
    <row r="16" spans="1:2">
      <c r="A16" s="15" t="s">
        <v>714</v>
      </c>
      <c r="B16" s="13">
        <v>59772.98</v>
      </c>
    </row>
    <row r="17" spans="1:2">
      <c r="A17" s="10" t="s">
        <v>697</v>
      </c>
      <c r="B17" s="13">
        <v>565620.76</v>
      </c>
    </row>
    <row r="36" spans="1:1">
      <c r="A36" t="s">
        <v>681</v>
      </c>
    </row>
    <row r="37" spans="1:1">
      <c r="A37" t="s">
        <v>716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6078C-6F58-4827-BD25-9E95DC74D354}">
  <dimension ref="A3:B28"/>
  <sheetViews>
    <sheetView workbookViewId="0">
      <selection activeCell="H30" sqref="H30"/>
    </sheetView>
  </sheetViews>
  <sheetFormatPr defaultRowHeight="13.8"/>
  <cols>
    <col min="1" max="1" width="13.09765625" bestFit="1" customWidth="1"/>
    <col min="2" max="2" width="12.3984375" bestFit="1" customWidth="1"/>
  </cols>
  <sheetData>
    <row r="3" spans="1:2">
      <c r="A3" s="9" t="s">
        <v>696</v>
      </c>
      <c r="B3" t="s">
        <v>698</v>
      </c>
    </row>
    <row r="4" spans="1:2">
      <c r="A4" s="10" t="s">
        <v>40</v>
      </c>
      <c r="B4" s="13">
        <v>213454.27</v>
      </c>
    </row>
    <row r="5" spans="1:2">
      <c r="A5" s="10" t="s">
        <v>66</v>
      </c>
      <c r="B5" s="13">
        <v>186893.03</v>
      </c>
    </row>
    <row r="6" spans="1:2">
      <c r="A6" s="10" t="s">
        <v>50</v>
      </c>
      <c r="B6" s="13">
        <v>165273.46</v>
      </c>
    </row>
    <row r="7" spans="1:2">
      <c r="A7" s="10" t="s">
        <v>697</v>
      </c>
      <c r="B7" s="13">
        <v>565620.76</v>
      </c>
    </row>
    <row r="27" spans="1:1">
      <c r="A27" t="s">
        <v>684</v>
      </c>
    </row>
    <row r="28" spans="1:1">
      <c r="A28" t="s">
        <v>717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55834-BC22-4CBB-A8C5-D00FA06820B0}">
  <dimension ref="A2:V6"/>
  <sheetViews>
    <sheetView showGridLines="0" tabSelected="1" zoomScaleNormal="100" workbookViewId="0">
      <selection activeCell="V34" sqref="V34"/>
    </sheetView>
  </sheetViews>
  <sheetFormatPr defaultRowHeight="13.8"/>
  <cols>
    <col min="8" max="10" width="10.69921875" bestFit="1" customWidth="1"/>
    <col min="11" max="12" width="13" bestFit="1" customWidth="1"/>
    <col min="13" max="14" width="11.19921875" bestFit="1" customWidth="1"/>
    <col min="18" max="18" width="13" bestFit="1" customWidth="1"/>
    <col min="19" max="19" width="10.69921875" bestFit="1" customWidth="1"/>
    <col min="20" max="20" width="13" bestFit="1" customWidth="1"/>
  </cols>
  <sheetData>
    <row r="2" spans="1:22">
      <c r="A2" s="18" t="s">
        <v>718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</row>
    <row r="3" spans="1:22">
      <c r="C3" s="19" t="s">
        <v>719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</row>
    <row r="5" spans="1:22">
      <c r="H5" s="12" t="s">
        <v>723</v>
      </c>
      <c r="J5" s="12" t="s">
        <v>720</v>
      </c>
      <c r="L5" s="12" t="s">
        <v>721</v>
      </c>
      <c r="N5" s="12" t="s">
        <v>722</v>
      </c>
    </row>
    <row r="6" spans="1:22">
      <c r="H6" s="16">
        <v>565620.76</v>
      </c>
      <c r="J6" s="16">
        <v>91879.19</v>
      </c>
      <c r="L6" s="17" t="s">
        <v>51</v>
      </c>
      <c r="N6" s="17" t="s">
        <v>41</v>
      </c>
    </row>
  </sheetData>
  <mergeCells count="2">
    <mergeCell ref="A2:V2"/>
    <mergeCell ref="C3:T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501"/>
  <sheetViews>
    <sheetView topLeftCell="A2" workbookViewId="0"/>
  </sheetViews>
  <sheetFormatPr defaultRowHeight="13.8"/>
  <cols>
    <col min="1" max="1" width="8.09765625" customWidth="1"/>
    <col min="2" max="3" width="13.3984375" customWidth="1"/>
    <col min="4" max="4" width="10" customWidth="1"/>
    <col min="5" max="5" width="22" customWidth="1"/>
    <col min="6" max="6" width="9.8984375" customWidth="1"/>
    <col min="7" max="7" width="5.69921875" customWidth="1"/>
    <col min="8" max="8" width="4.5" customWidth="1"/>
    <col min="9" max="9" width="12.5" customWidth="1"/>
    <col min="10" max="10" width="11.5" customWidth="1"/>
    <col min="11" max="11" width="10.69921875" customWidth="1"/>
    <col min="12" max="12" width="22" customWidth="1"/>
    <col min="13" max="13" width="10.296875" customWidth="1"/>
    <col min="14" max="15" width="7.19921875" customWidth="1"/>
    <col min="16" max="16" width="8.8984375" customWidth="1"/>
    <col min="17" max="17" width="11" customWidth="1"/>
    <col min="19" max="19" width="10.8984375" bestFit="1" customWidth="1"/>
    <col min="20" max="20" width="9.296875" bestFit="1" customWidth="1"/>
    <col min="21" max="21" width="8.8984375" bestFit="1" customWidth="1"/>
    <col min="25" max="25" width="9.69921875" bestFit="1" customWidth="1"/>
  </cols>
  <sheetData>
    <row r="1" spans="1:27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S1" t="s">
        <v>647</v>
      </c>
      <c r="T1" t="s">
        <v>649</v>
      </c>
      <c r="U1" t="s">
        <v>651</v>
      </c>
      <c r="V1" t="s">
        <v>653</v>
      </c>
      <c r="W1" t="s">
        <v>655</v>
      </c>
      <c r="X1" t="s">
        <v>657</v>
      </c>
      <c r="Y1" t="s">
        <v>659</v>
      </c>
      <c r="Z1" t="s">
        <v>661</v>
      </c>
      <c r="AA1" t="s">
        <v>663</v>
      </c>
    </row>
    <row r="2" spans="1:27">
      <c r="A2" t="s">
        <v>37</v>
      </c>
      <c r="B2" s="3">
        <v>45729</v>
      </c>
      <c r="C2" s="3">
        <v>45735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s="4">
        <v>8.39</v>
      </c>
      <c r="N2">
        <v>2</v>
      </c>
      <c r="O2" s="5">
        <v>0.15</v>
      </c>
      <c r="P2" s="4">
        <v>14.25</v>
      </c>
      <c r="Q2" s="4">
        <v>2.66</v>
      </c>
      <c r="S2" s="4">
        <f>SUM(Sales_Data!P2:P501)</f>
        <v>565620.75999999989</v>
      </c>
      <c r="T2" s="4">
        <f>AVERAGE(Sales_Data!Q2:Q501)</f>
        <v>183.75838000000002</v>
      </c>
      <c r="U2">
        <f>COUNTIF(Sales_Data!G2:G501,"North")</f>
        <v>139</v>
      </c>
      <c r="V2">
        <f>SUMIF(Sales_Data!J2:J501,"Technology",Sales_Data!P2:P501)</f>
        <v>375075.39</v>
      </c>
      <c r="W2">
        <f>SUMIFS(Sales_Data!P2:P501,Sales_Data!J2:J501,"Technology",Sales_Data!G2:G501,"North")</f>
        <v>126712.08</v>
      </c>
      <c r="X2" t="str">
        <f>IF(Sales_Data!Q2&gt;0,"Profit","Loss")</f>
        <v>Profit</v>
      </c>
      <c r="Y2" t="str">
        <f>_xlfn.XLOOKUP(Sales_Data!G2,Lookup_Data!A2:A5,Lookup_Data!B2:B5)</f>
        <v>Priya Shah</v>
      </c>
      <c r="Z2" t="str">
        <f>TEXT(Sales_Data!B2,"mmmm")</f>
        <v>March</v>
      </c>
      <c r="AA2" s="4">
        <f>ROUND(Sales_Data!P2,0)</f>
        <v>14</v>
      </c>
    </row>
    <row r="3" spans="1:27">
      <c r="A3" t="s">
        <v>47</v>
      </c>
      <c r="B3" s="3">
        <v>45966</v>
      </c>
      <c r="C3" s="3">
        <v>45967</v>
      </c>
      <c r="D3" t="s">
        <v>48</v>
      </c>
      <c r="E3" t="s">
        <v>49</v>
      </c>
      <c r="F3" t="s">
        <v>50</v>
      </c>
      <c r="G3" t="s">
        <v>41</v>
      </c>
      <c r="H3" t="s">
        <v>42</v>
      </c>
      <c r="I3" t="s">
        <v>43</v>
      </c>
      <c r="J3" t="s">
        <v>51</v>
      </c>
      <c r="K3" t="s">
        <v>52</v>
      </c>
      <c r="L3" t="s">
        <v>53</v>
      </c>
      <c r="M3" s="4">
        <v>46.35</v>
      </c>
      <c r="N3">
        <v>4</v>
      </c>
      <c r="O3" s="5">
        <v>0.15</v>
      </c>
      <c r="P3" s="4">
        <v>157.59</v>
      </c>
      <c r="Q3" s="4">
        <v>29.35</v>
      </c>
    </row>
    <row r="4" spans="1:27">
      <c r="A4" t="s">
        <v>54</v>
      </c>
      <c r="B4" s="3">
        <v>45800</v>
      </c>
      <c r="C4" s="3">
        <v>45802</v>
      </c>
      <c r="D4" t="s">
        <v>55</v>
      </c>
      <c r="E4" t="s">
        <v>56</v>
      </c>
      <c r="F4" t="s">
        <v>50</v>
      </c>
      <c r="G4" t="s">
        <v>57</v>
      </c>
      <c r="H4" t="s">
        <v>58</v>
      </c>
      <c r="I4" t="s">
        <v>59</v>
      </c>
      <c r="J4" t="s">
        <v>60</v>
      </c>
      <c r="K4" t="s">
        <v>61</v>
      </c>
      <c r="L4" t="s">
        <v>62</v>
      </c>
      <c r="M4" s="4">
        <v>62.88</v>
      </c>
      <c r="N4">
        <v>4</v>
      </c>
      <c r="O4" s="5">
        <v>0.2</v>
      </c>
      <c r="P4" s="4">
        <v>201.2</v>
      </c>
      <c r="Q4" s="4">
        <v>14.73</v>
      </c>
    </row>
    <row r="5" spans="1:27">
      <c r="A5" t="s">
        <v>63</v>
      </c>
      <c r="B5" s="3">
        <v>45721</v>
      </c>
      <c r="C5" s="3">
        <v>45725</v>
      </c>
      <c r="D5" t="s">
        <v>64</v>
      </c>
      <c r="E5" t="s">
        <v>65</v>
      </c>
      <c r="F5" t="s">
        <v>66</v>
      </c>
      <c r="G5" t="s">
        <v>57</v>
      </c>
      <c r="H5" t="s">
        <v>58</v>
      </c>
      <c r="I5" t="s">
        <v>67</v>
      </c>
      <c r="J5" t="s">
        <v>51</v>
      </c>
      <c r="K5" t="s">
        <v>68</v>
      </c>
      <c r="L5" t="s">
        <v>69</v>
      </c>
      <c r="M5" s="4">
        <v>1390.02</v>
      </c>
      <c r="N5">
        <v>2</v>
      </c>
      <c r="O5" s="5">
        <v>0.1</v>
      </c>
      <c r="P5" s="4">
        <v>2502.04</v>
      </c>
      <c r="Q5" s="4">
        <v>518.32000000000005</v>
      </c>
    </row>
    <row r="6" spans="1:27">
      <c r="A6" t="s">
        <v>70</v>
      </c>
      <c r="B6" s="3">
        <v>45996</v>
      </c>
      <c r="C6" s="3">
        <v>45998</v>
      </c>
      <c r="D6" t="s">
        <v>71</v>
      </c>
      <c r="E6" t="s">
        <v>72</v>
      </c>
      <c r="F6" t="s">
        <v>50</v>
      </c>
      <c r="G6" t="s">
        <v>57</v>
      </c>
      <c r="H6" t="s">
        <v>58</v>
      </c>
      <c r="I6" t="s">
        <v>67</v>
      </c>
      <c r="J6" t="s">
        <v>60</v>
      </c>
      <c r="K6" t="s">
        <v>73</v>
      </c>
      <c r="L6" t="s">
        <v>74</v>
      </c>
      <c r="M6" s="4">
        <v>417.71</v>
      </c>
      <c r="N6">
        <v>5</v>
      </c>
      <c r="O6" s="5">
        <v>0</v>
      </c>
      <c r="P6" s="4">
        <v>2088.5700000000002</v>
      </c>
      <c r="Q6" s="4">
        <v>556.86</v>
      </c>
    </row>
    <row r="7" spans="1:27">
      <c r="A7" t="s">
        <v>75</v>
      </c>
      <c r="B7" s="3">
        <v>45765</v>
      </c>
      <c r="C7" s="3">
        <v>45771</v>
      </c>
      <c r="D7" t="s">
        <v>76</v>
      </c>
      <c r="E7" t="s">
        <v>77</v>
      </c>
      <c r="F7" t="s">
        <v>66</v>
      </c>
      <c r="G7" t="s">
        <v>78</v>
      </c>
      <c r="H7" t="s">
        <v>79</v>
      </c>
      <c r="I7" t="s">
        <v>80</v>
      </c>
      <c r="J7" t="s">
        <v>51</v>
      </c>
      <c r="K7" t="s">
        <v>52</v>
      </c>
      <c r="L7" t="s">
        <v>81</v>
      </c>
      <c r="M7" s="4">
        <v>76.11</v>
      </c>
      <c r="N7">
        <v>5</v>
      </c>
      <c r="O7" s="5">
        <v>0.15</v>
      </c>
      <c r="P7" s="4">
        <v>323.48</v>
      </c>
      <c r="Q7" s="4">
        <v>68.58</v>
      </c>
    </row>
    <row r="8" spans="1:27">
      <c r="A8" t="s">
        <v>82</v>
      </c>
      <c r="B8" s="3">
        <v>45852</v>
      </c>
      <c r="C8" s="3">
        <v>45855</v>
      </c>
      <c r="D8" t="s">
        <v>83</v>
      </c>
      <c r="E8" t="s">
        <v>84</v>
      </c>
      <c r="F8" t="s">
        <v>40</v>
      </c>
      <c r="G8" t="s">
        <v>85</v>
      </c>
      <c r="H8" t="s">
        <v>86</v>
      </c>
      <c r="I8" t="s">
        <v>87</v>
      </c>
      <c r="J8" t="s">
        <v>51</v>
      </c>
      <c r="K8" t="s">
        <v>52</v>
      </c>
      <c r="L8" t="s">
        <v>53</v>
      </c>
      <c r="M8" s="4">
        <v>43.42</v>
      </c>
      <c r="N8">
        <v>4</v>
      </c>
      <c r="O8" s="5">
        <v>0.15</v>
      </c>
      <c r="P8" s="4">
        <v>147.62</v>
      </c>
      <c r="Q8" s="4">
        <v>-15.08</v>
      </c>
    </row>
    <row r="9" spans="1:27">
      <c r="A9" t="s">
        <v>88</v>
      </c>
      <c r="B9" s="3">
        <v>45819</v>
      </c>
      <c r="C9" s="3">
        <v>45821</v>
      </c>
      <c r="D9" t="s">
        <v>89</v>
      </c>
      <c r="E9" t="s">
        <v>90</v>
      </c>
      <c r="F9" t="s">
        <v>66</v>
      </c>
      <c r="G9" t="s">
        <v>57</v>
      </c>
      <c r="H9" t="s">
        <v>58</v>
      </c>
      <c r="I9" t="s">
        <v>91</v>
      </c>
      <c r="J9" t="s">
        <v>51</v>
      </c>
      <c r="K9" t="s">
        <v>52</v>
      </c>
      <c r="L9" t="s">
        <v>53</v>
      </c>
      <c r="M9" s="4">
        <v>48.46</v>
      </c>
      <c r="N9">
        <v>8</v>
      </c>
      <c r="O9" s="5">
        <v>0.05</v>
      </c>
      <c r="P9" s="4">
        <v>368.31</v>
      </c>
      <c r="Q9" s="4">
        <v>77.61</v>
      </c>
    </row>
    <row r="10" spans="1:27">
      <c r="A10" t="s">
        <v>92</v>
      </c>
      <c r="B10" s="3">
        <v>45957</v>
      </c>
      <c r="C10" s="3">
        <v>45961</v>
      </c>
      <c r="D10" t="s">
        <v>93</v>
      </c>
      <c r="E10" t="s">
        <v>94</v>
      </c>
      <c r="F10" t="s">
        <v>40</v>
      </c>
      <c r="G10" t="s">
        <v>85</v>
      </c>
      <c r="H10" t="s">
        <v>86</v>
      </c>
      <c r="I10" t="s">
        <v>95</v>
      </c>
      <c r="J10" t="s">
        <v>60</v>
      </c>
      <c r="K10" t="s">
        <v>61</v>
      </c>
      <c r="L10" t="s">
        <v>96</v>
      </c>
      <c r="M10" s="4">
        <v>84.95</v>
      </c>
      <c r="N10">
        <v>7</v>
      </c>
      <c r="O10" s="5">
        <v>0</v>
      </c>
      <c r="P10" s="4">
        <v>594.63</v>
      </c>
      <c r="Q10" s="4">
        <v>178.02</v>
      </c>
    </row>
    <row r="11" spans="1:27">
      <c r="A11" t="s">
        <v>97</v>
      </c>
      <c r="B11" s="3">
        <v>45963</v>
      </c>
      <c r="C11" s="3">
        <v>45964</v>
      </c>
      <c r="D11" t="s">
        <v>98</v>
      </c>
      <c r="E11" t="s">
        <v>99</v>
      </c>
      <c r="F11" t="s">
        <v>50</v>
      </c>
      <c r="G11" t="s">
        <v>41</v>
      </c>
      <c r="H11" t="s">
        <v>42</v>
      </c>
      <c r="I11" t="s">
        <v>43</v>
      </c>
      <c r="J11" t="s">
        <v>51</v>
      </c>
      <c r="K11" t="s">
        <v>52</v>
      </c>
      <c r="L11" t="s">
        <v>53</v>
      </c>
      <c r="M11" s="4">
        <v>45.86</v>
      </c>
      <c r="N11">
        <v>7</v>
      </c>
      <c r="O11" s="5">
        <v>0.05</v>
      </c>
      <c r="P11" s="4">
        <v>304.99</v>
      </c>
      <c r="Q11" s="4">
        <v>50.94</v>
      </c>
    </row>
    <row r="12" spans="1:27">
      <c r="A12" t="s">
        <v>100</v>
      </c>
      <c r="B12" s="3">
        <v>45986</v>
      </c>
      <c r="C12" s="3">
        <v>45989</v>
      </c>
      <c r="D12" t="s">
        <v>93</v>
      </c>
      <c r="E12" t="s">
        <v>94</v>
      </c>
      <c r="F12" t="s">
        <v>40</v>
      </c>
      <c r="G12" t="s">
        <v>41</v>
      </c>
      <c r="H12" t="s">
        <v>42</v>
      </c>
      <c r="I12" t="s">
        <v>101</v>
      </c>
      <c r="J12" t="s">
        <v>51</v>
      </c>
      <c r="K12" t="s">
        <v>102</v>
      </c>
      <c r="L12" t="s">
        <v>103</v>
      </c>
      <c r="M12" s="4">
        <v>315.82</v>
      </c>
      <c r="N12">
        <v>2</v>
      </c>
      <c r="O12" s="5">
        <v>0</v>
      </c>
      <c r="P12" s="4">
        <v>631.65</v>
      </c>
      <c r="Q12" s="4">
        <v>103.23</v>
      </c>
    </row>
    <row r="13" spans="1:27">
      <c r="A13" t="s">
        <v>104</v>
      </c>
      <c r="B13" s="3">
        <v>45985</v>
      </c>
      <c r="C13" s="3">
        <v>45990</v>
      </c>
      <c r="D13" t="s">
        <v>105</v>
      </c>
      <c r="E13" t="s">
        <v>106</v>
      </c>
      <c r="F13" t="s">
        <v>50</v>
      </c>
      <c r="G13" t="s">
        <v>57</v>
      </c>
      <c r="H13" t="s">
        <v>58</v>
      </c>
      <c r="I13" t="s">
        <v>67</v>
      </c>
      <c r="J13" t="s">
        <v>60</v>
      </c>
      <c r="K13" t="s">
        <v>73</v>
      </c>
      <c r="L13" t="s">
        <v>74</v>
      </c>
      <c r="M13" s="4">
        <v>380.17</v>
      </c>
      <c r="N13">
        <v>4</v>
      </c>
      <c r="O13" s="5">
        <v>0</v>
      </c>
      <c r="P13" s="4">
        <v>1520.66</v>
      </c>
      <c r="Q13" s="4">
        <v>137.44999999999999</v>
      </c>
    </row>
    <row r="14" spans="1:27">
      <c r="A14" t="s">
        <v>107</v>
      </c>
      <c r="B14" s="3">
        <v>45843</v>
      </c>
      <c r="C14" s="3">
        <v>45850</v>
      </c>
      <c r="D14" t="s">
        <v>108</v>
      </c>
      <c r="E14" t="s">
        <v>109</v>
      </c>
      <c r="F14" t="s">
        <v>66</v>
      </c>
      <c r="G14" t="s">
        <v>41</v>
      </c>
      <c r="H14" t="s">
        <v>42</v>
      </c>
      <c r="I14" t="s">
        <v>101</v>
      </c>
      <c r="J14" t="s">
        <v>44</v>
      </c>
      <c r="K14" t="s">
        <v>110</v>
      </c>
      <c r="L14" t="s">
        <v>111</v>
      </c>
      <c r="M14" s="4">
        <v>10.94</v>
      </c>
      <c r="N14">
        <v>5</v>
      </c>
      <c r="O14" s="5">
        <v>0</v>
      </c>
      <c r="P14" s="4">
        <v>54.7</v>
      </c>
      <c r="Q14" s="4">
        <v>14.74</v>
      </c>
    </row>
    <row r="15" spans="1:27">
      <c r="A15" t="s">
        <v>112</v>
      </c>
      <c r="B15" s="3">
        <v>45723</v>
      </c>
      <c r="C15" s="3">
        <v>45729</v>
      </c>
      <c r="D15" t="s">
        <v>113</v>
      </c>
      <c r="E15" t="s">
        <v>114</v>
      </c>
      <c r="F15" t="s">
        <v>66</v>
      </c>
      <c r="G15" t="s">
        <v>41</v>
      </c>
      <c r="H15" t="s">
        <v>42</v>
      </c>
      <c r="I15" t="s">
        <v>101</v>
      </c>
      <c r="J15" t="s">
        <v>51</v>
      </c>
      <c r="K15" t="s">
        <v>102</v>
      </c>
      <c r="L15" t="s">
        <v>103</v>
      </c>
      <c r="M15" s="4">
        <v>298.57</v>
      </c>
      <c r="N15">
        <v>8</v>
      </c>
      <c r="O15" s="5">
        <v>0.1</v>
      </c>
      <c r="P15" s="4">
        <v>2149.69</v>
      </c>
      <c r="Q15" s="4">
        <v>391.07</v>
      </c>
    </row>
    <row r="16" spans="1:27">
      <c r="A16" t="s">
        <v>115</v>
      </c>
      <c r="B16" s="3">
        <v>45862</v>
      </c>
      <c r="C16" s="3">
        <v>45868</v>
      </c>
      <c r="D16" t="s">
        <v>105</v>
      </c>
      <c r="E16" t="s">
        <v>106</v>
      </c>
      <c r="F16" t="s">
        <v>40</v>
      </c>
      <c r="G16" t="s">
        <v>85</v>
      </c>
      <c r="H16" t="s">
        <v>86</v>
      </c>
      <c r="I16" t="s">
        <v>87</v>
      </c>
      <c r="J16" t="s">
        <v>60</v>
      </c>
      <c r="K16" t="s">
        <v>116</v>
      </c>
      <c r="L16" t="s">
        <v>117</v>
      </c>
      <c r="M16" s="4">
        <v>561.55999999999995</v>
      </c>
      <c r="N16">
        <v>6</v>
      </c>
      <c r="O16" s="5">
        <v>0.05</v>
      </c>
      <c r="P16" s="4">
        <v>3200.89</v>
      </c>
      <c r="Q16" s="4">
        <v>521.33000000000004</v>
      </c>
    </row>
    <row r="17" spans="1:17">
      <c r="A17" t="s">
        <v>118</v>
      </c>
      <c r="B17" s="3">
        <v>45959</v>
      </c>
      <c r="C17" s="3">
        <v>45961</v>
      </c>
      <c r="D17" t="s">
        <v>38</v>
      </c>
      <c r="E17" t="s">
        <v>39</v>
      </c>
      <c r="F17" t="s">
        <v>50</v>
      </c>
      <c r="G17" t="s">
        <v>41</v>
      </c>
      <c r="H17" t="s">
        <v>42</v>
      </c>
      <c r="I17" t="s">
        <v>119</v>
      </c>
      <c r="J17" t="s">
        <v>60</v>
      </c>
      <c r="K17" t="s">
        <v>61</v>
      </c>
      <c r="L17" t="s">
        <v>96</v>
      </c>
      <c r="M17" s="4">
        <v>93.74</v>
      </c>
      <c r="N17">
        <v>1</v>
      </c>
      <c r="O17" s="5">
        <v>0</v>
      </c>
      <c r="P17" s="4">
        <v>93.74</v>
      </c>
      <c r="Q17" s="4">
        <v>-2.17</v>
      </c>
    </row>
    <row r="18" spans="1:17">
      <c r="A18" t="s">
        <v>120</v>
      </c>
      <c r="B18" s="3">
        <v>45767</v>
      </c>
      <c r="C18" s="3">
        <v>45772</v>
      </c>
      <c r="D18" t="s">
        <v>121</v>
      </c>
      <c r="E18" t="s">
        <v>122</v>
      </c>
      <c r="F18" t="s">
        <v>40</v>
      </c>
      <c r="G18" t="s">
        <v>57</v>
      </c>
      <c r="H18" t="s">
        <v>58</v>
      </c>
      <c r="I18" t="s">
        <v>59</v>
      </c>
      <c r="J18" t="s">
        <v>51</v>
      </c>
      <c r="K18" t="s">
        <v>52</v>
      </c>
      <c r="L18" t="s">
        <v>81</v>
      </c>
      <c r="M18" s="4">
        <v>76.099999999999994</v>
      </c>
      <c r="N18">
        <v>3</v>
      </c>
      <c r="O18" s="5">
        <v>0.15</v>
      </c>
      <c r="P18" s="4">
        <v>194.05</v>
      </c>
      <c r="Q18" s="4">
        <v>37.409999999999997</v>
      </c>
    </row>
    <row r="19" spans="1:17">
      <c r="A19" t="s">
        <v>123</v>
      </c>
      <c r="B19" s="3">
        <v>45839</v>
      </c>
      <c r="C19" s="3">
        <v>45843</v>
      </c>
      <c r="D19" t="s">
        <v>98</v>
      </c>
      <c r="E19" t="s">
        <v>99</v>
      </c>
      <c r="F19" t="s">
        <v>50</v>
      </c>
      <c r="G19" t="s">
        <v>78</v>
      </c>
      <c r="H19" t="s">
        <v>79</v>
      </c>
      <c r="I19" t="s">
        <v>124</v>
      </c>
      <c r="J19" t="s">
        <v>51</v>
      </c>
      <c r="K19" t="s">
        <v>125</v>
      </c>
      <c r="L19" t="s">
        <v>126</v>
      </c>
      <c r="M19" s="4">
        <v>911.85</v>
      </c>
      <c r="N19">
        <v>7</v>
      </c>
      <c r="O19" s="5">
        <v>0.05</v>
      </c>
      <c r="P19" s="4">
        <v>6063.82</v>
      </c>
      <c r="Q19" s="4">
        <v>385.31</v>
      </c>
    </row>
    <row r="20" spans="1:17">
      <c r="A20" t="s">
        <v>127</v>
      </c>
      <c r="B20" s="3">
        <v>45785</v>
      </c>
      <c r="C20" s="3">
        <v>45787</v>
      </c>
      <c r="D20" t="s">
        <v>108</v>
      </c>
      <c r="E20" t="s">
        <v>109</v>
      </c>
      <c r="F20" t="s">
        <v>66</v>
      </c>
      <c r="G20" t="s">
        <v>41</v>
      </c>
      <c r="H20" t="s">
        <v>42</v>
      </c>
      <c r="I20" t="s">
        <v>43</v>
      </c>
      <c r="J20" t="s">
        <v>60</v>
      </c>
      <c r="K20" t="s">
        <v>128</v>
      </c>
      <c r="L20" t="s">
        <v>129</v>
      </c>
      <c r="M20" s="4">
        <v>277.12</v>
      </c>
      <c r="N20">
        <v>4</v>
      </c>
      <c r="O20" s="5">
        <v>0.1</v>
      </c>
      <c r="P20" s="4">
        <v>997.64</v>
      </c>
      <c r="Q20" s="4">
        <v>155.1</v>
      </c>
    </row>
    <row r="21" spans="1:17">
      <c r="A21" t="s">
        <v>130</v>
      </c>
      <c r="B21" s="3">
        <v>45991</v>
      </c>
      <c r="C21" s="3">
        <v>45996</v>
      </c>
      <c r="D21" t="s">
        <v>71</v>
      </c>
      <c r="E21" t="s">
        <v>72</v>
      </c>
      <c r="F21" t="s">
        <v>66</v>
      </c>
      <c r="G21" t="s">
        <v>85</v>
      </c>
      <c r="H21" t="s">
        <v>86</v>
      </c>
      <c r="I21" t="s">
        <v>95</v>
      </c>
      <c r="J21" t="s">
        <v>60</v>
      </c>
      <c r="K21" t="s">
        <v>73</v>
      </c>
      <c r="L21" t="s">
        <v>74</v>
      </c>
      <c r="M21" s="4">
        <v>423.26</v>
      </c>
      <c r="N21">
        <v>1</v>
      </c>
      <c r="O21" s="5">
        <v>0</v>
      </c>
      <c r="P21" s="4">
        <v>423.26</v>
      </c>
      <c r="Q21" s="4">
        <v>110.97</v>
      </c>
    </row>
    <row r="22" spans="1:17">
      <c r="A22" t="s">
        <v>131</v>
      </c>
      <c r="B22" s="3">
        <v>45852</v>
      </c>
      <c r="C22" s="3">
        <v>45853</v>
      </c>
      <c r="D22" t="s">
        <v>132</v>
      </c>
      <c r="E22" t="s">
        <v>133</v>
      </c>
      <c r="F22" t="s">
        <v>50</v>
      </c>
      <c r="G22" t="s">
        <v>78</v>
      </c>
      <c r="H22" t="s">
        <v>79</v>
      </c>
      <c r="I22" t="s">
        <v>124</v>
      </c>
      <c r="J22" t="s">
        <v>44</v>
      </c>
      <c r="K22" t="s">
        <v>110</v>
      </c>
      <c r="L22" t="s">
        <v>111</v>
      </c>
      <c r="M22" s="4">
        <v>13.02</v>
      </c>
      <c r="N22">
        <v>7</v>
      </c>
      <c r="O22" s="5">
        <v>0</v>
      </c>
      <c r="P22" s="4">
        <v>91.17</v>
      </c>
      <c r="Q22" s="4">
        <v>22.45</v>
      </c>
    </row>
    <row r="23" spans="1:17">
      <c r="A23" t="s">
        <v>134</v>
      </c>
      <c r="B23" s="3">
        <v>45954</v>
      </c>
      <c r="C23" s="3">
        <v>45960</v>
      </c>
      <c r="D23" t="s">
        <v>71</v>
      </c>
      <c r="E23" t="s">
        <v>72</v>
      </c>
      <c r="F23" t="s">
        <v>50</v>
      </c>
      <c r="G23" t="s">
        <v>78</v>
      </c>
      <c r="H23" t="s">
        <v>79</v>
      </c>
      <c r="I23" t="s">
        <v>135</v>
      </c>
      <c r="J23" t="s">
        <v>44</v>
      </c>
      <c r="K23" t="s">
        <v>45</v>
      </c>
      <c r="L23" t="s">
        <v>46</v>
      </c>
      <c r="M23" s="4">
        <v>7.7</v>
      </c>
      <c r="N23">
        <v>1</v>
      </c>
      <c r="O23" s="5">
        <v>0.15</v>
      </c>
      <c r="P23" s="4">
        <v>6.55</v>
      </c>
      <c r="Q23" s="4">
        <v>0.41</v>
      </c>
    </row>
    <row r="24" spans="1:17">
      <c r="A24" t="s">
        <v>136</v>
      </c>
      <c r="B24" s="3">
        <v>45962</v>
      </c>
      <c r="C24" s="3">
        <v>45963</v>
      </c>
      <c r="D24" t="s">
        <v>137</v>
      </c>
      <c r="E24" t="s">
        <v>138</v>
      </c>
      <c r="F24" t="s">
        <v>40</v>
      </c>
      <c r="G24" t="s">
        <v>85</v>
      </c>
      <c r="H24" t="s">
        <v>86</v>
      </c>
      <c r="I24" t="s">
        <v>95</v>
      </c>
      <c r="J24" t="s">
        <v>51</v>
      </c>
      <c r="K24" t="s">
        <v>52</v>
      </c>
      <c r="L24" t="s">
        <v>53</v>
      </c>
      <c r="M24" s="4">
        <v>41.58</v>
      </c>
      <c r="N24">
        <v>4</v>
      </c>
      <c r="O24" s="5">
        <v>0.05</v>
      </c>
      <c r="P24" s="4">
        <v>158</v>
      </c>
      <c r="Q24" s="4">
        <v>43.07</v>
      </c>
    </row>
    <row r="25" spans="1:17">
      <c r="A25" t="s">
        <v>139</v>
      </c>
      <c r="B25" s="3">
        <v>45925</v>
      </c>
      <c r="C25" s="3">
        <v>45928</v>
      </c>
      <c r="D25" t="s">
        <v>89</v>
      </c>
      <c r="E25" t="s">
        <v>90</v>
      </c>
      <c r="F25" t="s">
        <v>50</v>
      </c>
      <c r="G25" t="s">
        <v>41</v>
      </c>
      <c r="H25" t="s">
        <v>42</v>
      </c>
      <c r="I25" t="s">
        <v>101</v>
      </c>
      <c r="J25" t="s">
        <v>44</v>
      </c>
      <c r="K25" t="s">
        <v>140</v>
      </c>
      <c r="L25" t="s">
        <v>141</v>
      </c>
      <c r="M25" s="4">
        <v>25.85</v>
      </c>
      <c r="N25">
        <v>5</v>
      </c>
      <c r="O25" s="5">
        <v>0</v>
      </c>
      <c r="P25" s="4">
        <v>129.24</v>
      </c>
      <c r="Q25" s="4">
        <v>16.61</v>
      </c>
    </row>
    <row r="26" spans="1:17">
      <c r="A26" t="s">
        <v>142</v>
      </c>
      <c r="B26" s="3">
        <v>45695</v>
      </c>
      <c r="C26" s="3">
        <v>45696</v>
      </c>
      <c r="D26" t="s">
        <v>55</v>
      </c>
      <c r="E26" t="s">
        <v>56</v>
      </c>
      <c r="F26" t="s">
        <v>40</v>
      </c>
      <c r="G26" t="s">
        <v>85</v>
      </c>
      <c r="H26" t="s">
        <v>86</v>
      </c>
      <c r="I26" t="s">
        <v>87</v>
      </c>
      <c r="J26" t="s">
        <v>44</v>
      </c>
      <c r="K26" t="s">
        <v>143</v>
      </c>
      <c r="L26" t="s">
        <v>144</v>
      </c>
      <c r="M26" s="4">
        <v>19.79</v>
      </c>
      <c r="N26">
        <v>8</v>
      </c>
      <c r="O26" s="5">
        <v>0.1</v>
      </c>
      <c r="P26" s="4">
        <v>142.52000000000001</v>
      </c>
      <c r="Q26" s="4">
        <v>-5.89</v>
      </c>
    </row>
    <row r="27" spans="1:17">
      <c r="A27" t="s">
        <v>145</v>
      </c>
      <c r="B27" s="3">
        <v>45803</v>
      </c>
      <c r="C27" s="3">
        <v>45805</v>
      </c>
      <c r="D27" t="s">
        <v>76</v>
      </c>
      <c r="E27" t="s">
        <v>77</v>
      </c>
      <c r="F27" t="s">
        <v>66</v>
      </c>
      <c r="G27" t="s">
        <v>57</v>
      </c>
      <c r="H27" t="s">
        <v>58</v>
      </c>
      <c r="I27" t="s">
        <v>59</v>
      </c>
      <c r="J27" t="s">
        <v>51</v>
      </c>
      <c r="K27" t="s">
        <v>52</v>
      </c>
      <c r="L27" t="s">
        <v>53</v>
      </c>
      <c r="M27" s="4">
        <v>45.39</v>
      </c>
      <c r="N27">
        <v>8</v>
      </c>
      <c r="O27" s="5">
        <v>0.2</v>
      </c>
      <c r="P27" s="4">
        <v>290.49</v>
      </c>
      <c r="Q27" s="4">
        <v>36.49</v>
      </c>
    </row>
    <row r="28" spans="1:17">
      <c r="A28" t="s">
        <v>146</v>
      </c>
      <c r="B28" s="3">
        <v>45793</v>
      </c>
      <c r="C28" s="3">
        <v>45794</v>
      </c>
      <c r="D28" t="s">
        <v>113</v>
      </c>
      <c r="E28" t="s">
        <v>114</v>
      </c>
      <c r="F28" t="s">
        <v>40</v>
      </c>
      <c r="G28" t="s">
        <v>41</v>
      </c>
      <c r="H28" t="s">
        <v>42</v>
      </c>
      <c r="I28" t="s">
        <v>101</v>
      </c>
      <c r="J28" t="s">
        <v>44</v>
      </c>
      <c r="K28" t="s">
        <v>110</v>
      </c>
      <c r="L28" t="s">
        <v>111</v>
      </c>
      <c r="M28" s="4">
        <v>12.13</v>
      </c>
      <c r="N28">
        <v>2</v>
      </c>
      <c r="O28" s="5">
        <v>0.15</v>
      </c>
      <c r="P28" s="4">
        <v>20.62</v>
      </c>
      <c r="Q28" s="4">
        <v>2.4300000000000002</v>
      </c>
    </row>
    <row r="29" spans="1:17">
      <c r="A29" t="s">
        <v>147</v>
      </c>
      <c r="B29" s="3">
        <v>45908</v>
      </c>
      <c r="C29" s="3">
        <v>45911</v>
      </c>
      <c r="D29" t="s">
        <v>48</v>
      </c>
      <c r="E29" t="s">
        <v>49</v>
      </c>
      <c r="F29" t="s">
        <v>40</v>
      </c>
      <c r="G29" t="s">
        <v>57</v>
      </c>
      <c r="H29" t="s">
        <v>58</v>
      </c>
      <c r="I29" t="s">
        <v>59</v>
      </c>
      <c r="J29" t="s">
        <v>60</v>
      </c>
      <c r="K29" t="s">
        <v>128</v>
      </c>
      <c r="L29" t="s">
        <v>129</v>
      </c>
      <c r="M29" s="4">
        <v>287.52</v>
      </c>
      <c r="N29">
        <v>1</v>
      </c>
      <c r="O29" s="5">
        <v>0</v>
      </c>
      <c r="P29" s="4">
        <v>287.52</v>
      </c>
      <c r="Q29" s="4">
        <v>-15.34</v>
      </c>
    </row>
    <row r="30" spans="1:17">
      <c r="A30" t="s">
        <v>148</v>
      </c>
      <c r="B30" s="3">
        <v>46019</v>
      </c>
      <c r="C30" s="3">
        <v>46023</v>
      </c>
      <c r="D30" t="s">
        <v>64</v>
      </c>
      <c r="E30" t="s">
        <v>65</v>
      </c>
      <c r="F30" t="s">
        <v>66</v>
      </c>
      <c r="G30" t="s">
        <v>85</v>
      </c>
      <c r="H30" t="s">
        <v>86</v>
      </c>
      <c r="I30" t="s">
        <v>87</v>
      </c>
      <c r="J30" t="s">
        <v>51</v>
      </c>
      <c r="K30" t="s">
        <v>68</v>
      </c>
      <c r="L30" t="s">
        <v>69</v>
      </c>
      <c r="M30" s="4">
        <v>1326.82</v>
      </c>
      <c r="N30">
        <v>1</v>
      </c>
      <c r="O30" s="5">
        <v>0</v>
      </c>
      <c r="P30" s="4">
        <v>1326.82</v>
      </c>
      <c r="Q30" s="4">
        <v>359.27</v>
      </c>
    </row>
    <row r="31" spans="1:17">
      <c r="A31" t="s">
        <v>149</v>
      </c>
      <c r="B31" s="3">
        <v>45723</v>
      </c>
      <c r="C31" s="3">
        <v>45724</v>
      </c>
      <c r="D31" t="s">
        <v>98</v>
      </c>
      <c r="E31" t="s">
        <v>99</v>
      </c>
      <c r="F31" t="s">
        <v>40</v>
      </c>
      <c r="G31" t="s">
        <v>41</v>
      </c>
      <c r="H31" t="s">
        <v>42</v>
      </c>
      <c r="I31" t="s">
        <v>119</v>
      </c>
      <c r="J31" t="s">
        <v>60</v>
      </c>
      <c r="K31" t="s">
        <v>116</v>
      </c>
      <c r="L31" t="s">
        <v>117</v>
      </c>
      <c r="M31" s="4">
        <v>561.49</v>
      </c>
      <c r="N31">
        <v>5</v>
      </c>
      <c r="O31" s="5">
        <v>0</v>
      </c>
      <c r="P31" s="4">
        <v>2807.47</v>
      </c>
      <c r="Q31" s="4">
        <v>699.15</v>
      </c>
    </row>
    <row r="32" spans="1:17">
      <c r="A32" t="s">
        <v>150</v>
      </c>
      <c r="B32" s="3">
        <v>45944</v>
      </c>
      <c r="C32" s="3">
        <v>45951</v>
      </c>
      <c r="D32" t="s">
        <v>76</v>
      </c>
      <c r="E32" t="s">
        <v>77</v>
      </c>
      <c r="F32" t="s">
        <v>40</v>
      </c>
      <c r="G32" t="s">
        <v>57</v>
      </c>
      <c r="H32" t="s">
        <v>58</v>
      </c>
      <c r="I32" t="s">
        <v>59</v>
      </c>
      <c r="J32" t="s">
        <v>51</v>
      </c>
      <c r="K32" t="s">
        <v>125</v>
      </c>
      <c r="L32" t="s">
        <v>126</v>
      </c>
      <c r="M32" s="4">
        <v>892.41</v>
      </c>
      <c r="N32">
        <v>7</v>
      </c>
      <c r="O32" s="5">
        <v>0.1</v>
      </c>
      <c r="P32" s="4">
        <v>5622.19</v>
      </c>
      <c r="Q32" s="4">
        <v>1582.31</v>
      </c>
    </row>
    <row r="33" spans="1:17">
      <c r="A33" t="s">
        <v>151</v>
      </c>
      <c r="B33" s="3">
        <v>45868</v>
      </c>
      <c r="C33" s="3">
        <v>45875</v>
      </c>
      <c r="D33" t="s">
        <v>55</v>
      </c>
      <c r="E33" t="s">
        <v>56</v>
      </c>
      <c r="F33" t="s">
        <v>66</v>
      </c>
      <c r="G33" t="s">
        <v>85</v>
      </c>
      <c r="H33" t="s">
        <v>86</v>
      </c>
      <c r="I33" t="s">
        <v>95</v>
      </c>
      <c r="J33" t="s">
        <v>51</v>
      </c>
      <c r="K33" t="s">
        <v>52</v>
      </c>
      <c r="L33" t="s">
        <v>53</v>
      </c>
      <c r="M33" s="4">
        <v>41.93</v>
      </c>
      <c r="N33">
        <v>4</v>
      </c>
      <c r="O33" s="5">
        <v>0</v>
      </c>
      <c r="P33" s="4">
        <v>167.73</v>
      </c>
      <c r="Q33" s="4">
        <v>37.79</v>
      </c>
    </row>
    <row r="34" spans="1:17">
      <c r="A34" t="s">
        <v>152</v>
      </c>
      <c r="B34" s="3">
        <v>45814</v>
      </c>
      <c r="C34" s="3">
        <v>45821</v>
      </c>
      <c r="D34" t="s">
        <v>76</v>
      </c>
      <c r="E34" t="s">
        <v>77</v>
      </c>
      <c r="F34" t="s">
        <v>50</v>
      </c>
      <c r="G34" t="s">
        <v>41</v>
      </c>
      <c r="H34" t="s">
        <v>42</v>
      </c>
      <c r="I34" t="s">
        <v>119</v>
      </c>
      <c r="J34" t="s">
        <v>51</v>
      </c>
      <c r="K34" t="s">
        <v>68</v>
      </c>
      <c r="L34" t="s">
        <v>69</v>
      </c>
      <c r="M34" s="4">
        <v>1311.86</v>
      </c>
      <c r="N34">
        <v>4</v>
      </c>
      <c r="O34" s="5">
        <v>0</v>
      </c>
      <c r="P34" s="4">
        <v>5247.45</v>
      </c>
      <c r="Q34" s="4">
        <v>515.73</v>
      </c>
    </row>
    <row r="35" spans="1:17">
      <c r="A35" t="s">
        <v>153</v>
      </c>
      <c r="B35" s="3">
        <v>46005</v>
      </c>
      <c r="C35" s="3">
        <v>46012</v>
      </c>
      <c r="D35" t="s">
        <v>154</v>
      </c>
      <c r="E35" t="s">
        <v>155</v>
      </c>
      <c r="F35" t="s">
        <v>66</v>
      </c>
      <c r="G35" t="s">
        <v>41</v>
      </c>
      <c r="H35" t="s">
        <v>42</v>
      </c>
      <c r="I35" t="s">
        <v>119</v>
      </c>
      <c r="J35" t="s">
        <v>60</v>
      </c>
      <c r="K35" t="s">
        <v>61</v>
      </c>
      <c r="L35" t="s">
        <v>96</v>
      </c>
      <c r="M35" s="4">
        <v>83.08</v>
      </c>
      <c r="N35">
        <v>6</v>
      </c>
      <c r="O35" s="5">
        <v>0</v>
      </c>
      <c r="P35" s="4">
        <v>498.46</v>
      </c>
      <c r="Q35" s="4">
        <v>145.85</v>
      </c>
    </row>
    <row r="36" spans="1:17">
      <c r="A36" t="s">
        <v>156</v>
      </c>
      <c r="B36" s="3">
        <v>45818</v>
      </c>
      <c r="C36" s="3">
        <v>45822</v>
      </c>
      <c r="D36" t="s">
        <v>76</v>
      </c>
      <c r="E36" t="s">
        <v>77</v>
      </c>
      <c r="F36" t="s">
        <v>50</v>
      </c>
      <c r="G36" t="s">
        <v>57</v>
      </c>
      <c r="H36" t="s">
        <v>58</v>
      </c>
      <c r="I36" t="s">
        <v>59</v>
      </c>
      <c r="J36" t="s">
        <v>60</v>
      </c>
      <c r="K36" t="s">
        <v>61</v>
      </c>
      <c r="L36" t="s">
        <v>62</v>
      </c>
      <c r="M36" s="4">
        <v>70.19</v>
      </c>
      <c r="N36">
        <v>2</v>
      </c>
      <c r="O36" s="5">
        <v>0.05</v>
      </c>
      <c r="P36" s="4">
        <v>133.37</v>
      </c>
      <c r="Q36" s="4">
        <v>-8.48</v>
      </c>
    </row>
    <row r="37" spans="1:17">
      <c r="A37" t="s">
        <v>157</v>
      </c>
      <c r="B37" s="3">
        <v>45818</v>
      </c>
      <c r="C37" s="3">
        <v>45824</v>
      </c>
      <c r="D37" t="s">
        <v>158</v>
      </c>
      <c r="E37" t="s">
        <v>159</v>
      </c>
      <c r="F37" t="s">
        <v>66</v>
      </c>
      <c r="G37" t="s">
        <v>85</v>
      </c>
      <c r="H37" t="s">
        <v>86</v>
      </c>
      <c r="I37" t="s">
        <v>160</v>
      </c>
      <c r="J37" t="s">
        <v>51</v>
      </c>
      <c r="K37" t="s">
        <v>52</v>
      </c>
      <c r="L37" t="s">
        <v>81</v>
      </c>
      <c r="M37" s="4">
        <v>75.599999999999994</v>
      </c>
      <c r="N37">
        <v>2</v>
      </c>
      <c r="O37" s="5">
        <v>0.15</v>
      </c>
      <c r="P37" s="4">
        <v>128.52000000000001</v>
      </c>
      <c r="Q37" s="4">
        <v>22.72</v>
      </c>
    </row>
    <row r="38" spans="1:17">
      <c r="A38" t="s">
        <v>161</v>
      </c>
      <c r="B38" s="3">
        <v>45756</v>
      </c>
      <c r="C38" s="3">
        <v>45760</v>
      </c>
      <c r="D38" t="s">
        <v>113</v>
      </c>
      <c r="E38" t="s">
        <v>114</v>
      </c>
      <c r="F38" t="s">
        <v>40</v>
      </c>
      <c r="G38" t="s">
        <v>57</v>
      </c>
      <c r="H38" t="s">
        <v>58</v>
      </c>
      <c r="I38" t="s">
        <v>91</v>
      </c>
      <c r="J38" t="s">
        <v>44</v>
      </c>
      <c r="K38" t="s">
        <v>140</v>
      </c>
      <c r="L38" t="s">
        <v>141</v>
      </c>
      <c r="M38" s="4">
        <v>26.24</v>
      </c>
      <c r="N38">
        <v>7</v>
      </c>
      <c r="O38" s="5">
        <v>0.15</v>
      </c>
      <c r="P38" s="4">
        <v>156.13</v>
      </c>
      <c r="Q38" s="4">
        <v>14.6</v>
      </c>
    </row>
    <row r="39" spans="1:17">
      <c r="A39" t="s">
        <v>162</v>
      </c>
      <c r="B39" s="3">
        <v>45878</v>
      </c>
      <c r="C39" s="3">
        <v>45885</v>
      </c>
      <c r="D39" t="s">
        <v>163</v>
      </c>
      <c r="E39" t="s">
        <v>164</v>
      </c>
      <c r="F39" t="s">
        <v>50</v>
      </c>
      <c r="G39" t="s">
        <v>78</v>
      </c>
      <c r="H39" t="s">
        <v>79</v>
      </c>
      <c r="I39" t="s">
        <v>80</v>
      </c>
      <c r="J39" t="s">
        <v>44</v>
      </c>
      <c r="K39" t="s">
        <v>165</v>
      </c>
      <c r="L39" t="s">
        <v>166</v>
      </c>
      <c r="M39" s="4">
        <v>14.83</v>
      </c>
      <c r="N39">
        <v>6</v>
      </c>
      <c r="O39" s="5">
        <v>0.05</v>
      </c>
      <c r="P39" s="4">
        <v>84.5</v>
      </c>
      <c r="Q39" s="4">
        <v>18.5</v>
      </c>
    </row>
    <row r="40" spans="1:17">
      <c r="A40" t="s">
        <v>167</v>
      </c>
      <c r="B40" s="3">
        <v>45829</v>
      </c>
      <c r="C40" s="3">
        <v>45830</v>
      </c>
      <c r="D40" t="s">
        <v>158</v>
      </c>
      <c r="E40" t="s">
        <v>159</v>
      </c>
      <c r="F40" t="s">
        <v>50</v>
      </c>
      <c r="G40" t="s">
        <v>85</v>
      </c>
      <c r="H40" t="s">
        <v>86</v>
      </c>
      <c r="I40" t="s">
        <v>87</v>
      </c>
      <c r="J40" t="s">
        <v>44</v>
      </c>
      <c r="K40" t="s">
        <v>140</v>
      </c>
      <c r="L40" t="s">
        <v>141</v>
      </c>
      <c r="M40" s="4">
        <v>24.05</v>
      </c>
      <c r="N40">
        <v>4</v>
      </c>
      <c r="O40" s="5">
        <v>0.15</v>
      </c>
      <c r="P40" s="4">
        <v>81.78</v>
      </c>
      <c r="Q40" s="4">
        <v>20.58</v>
      </c>
    </row>
    <row r="41" spans="1:17">
      <c r="A41" t="s">
        <v>168</v>
      </c>
      <c r="B41" s="3">
        <v>45870</v>
      </c>
      <c r="C41" s="3">
        <v>45876</v>
      </c>
      <c r="D41" t="s">
        <v>83</v>
      </c>
      <c r="E41" t="s">
        <v>84</v>
      </c>
      <c r="F41" t="s">
        <v>66</v>
      </c>
      <c r="G41" t="s">
        <v>41</v>
      </c>
      <c r="H41" t="s">
        <v>42</v>
      </c>
      <c r="I41" t="s">
        <v>43</v>
      </c>
      <c r="J41" t="s">
        <v>60</v>
      </c>
      <c r="K41" t="s">
        <v>73</v>
      </c>
      <c r="L41" t="s">
        <v>74</v>
      </c>
      <c r="M41" s="4">
        <v>405.32</v>
      </c>
      <c r="N41">
        <v>4</v>
      </c>
      <c r="O41" s="5">
        <v>0.15</v>
      </c>
      <c r="P41" s="4">
        <v>1378.07</v>
      </c>
      <c r="Q41" s="4">
        <v>239.23</v>
      </c>
    </row>
    <row r="42" spans="1:17">
      <c r="A42" t="s">
        <v>169</v>
      </c>
      <c r="B42" s="3">
        <v>45895</v>
      </c>
      <c r="C42" s="3">
        <v>45896</v>
      </c>
      <c r="D42" t="s">
        <v>48</v>
      </c>
      <c r="E42" t="s">
        <v>49</v>
      </c>
      <c r="F42" t="s">
        <v>66</v>
      </c>
      <c r="G42" t="s">
        <v>41</v>
      </c>
      <c r="H42" t="s">
        <v>42</v>
      </c>
      <c r="I42" t="s">
        <v>43</v>
      </c>
      <c r="J42" t="s">
        <v>51</v>
      </c>
      <c r="K42" t="s">
        <v>52</v>
      </c>
      <c r="L42" t="s">
        <v>53</v>
      </c>
      <c r="M42" s="4">
        <v>41.59</v>
      </c>
      <c r="N42">
        <v>4</v>
      </c>
      <c r="O42" s="5">
        <v>0.2</v>
      </c>
      <c r="P42" s="4">
        <v>133.1</v>
      </c>
      <c r="Q42" s="4">
        <v>11.09</v>
      </c>
    </row>
    <row r="43" spans="1:17">
      <c r="A43" t="s">
        <v>170</v>
      </c>
      <c r="B43" s="3">
        <v>45938</v>
      </c>
      <c r="C43" s="3">
        <v>45942</v>
      </c>
      <c r="D43" t="s">
        <v>98</v>
      </c>
      <c r="E43" t="s">
        <v>99</v>
      </c>
      <c r="F43" t="s">
        <v>40</v>
      </c>
      <c r="G43" t="s">
        <v>57</v>
      </c>
      <c r="H43" t="s">
        <v>58</v>
      </c>
      <c r="I43" t="s">
        <v>91</v>
      </c>
      <c r="J43" t="s">
        <v>60</v>
      </c>
      <c r="K43" t="s">
        <v>61</v>
      </c>
      <c r="L43" t="s">
        <v>96</v>
      </c>
      <c r="M43" s="4">
        <v>96.51</v>
      </c>
      <c r="N43">
        <v>3</v>
      </c>
      <c r="O43" s="5">
        <v>0.15</v>
      </c>
      <c r="P43" s="4">
        <v>246.09</v>
      </c>
      <c r="Q43" s="4">
        <v>39.99</v>
      </c>
    </row>
    <row r="44" spans="1:17">
      <c r="A44" t="s">
        <v>171</v>
      </c>
      <c r="B44" s="3">
        <v>45883</v>
      </c>
      <c r="C44" s="3">
        <v>45884</v>
      </c>
      <c r="D44" t="s">
        <v>93</v>
      </c>
      <c r="E44" t="s">
        <v>94</v>
      </c>
      <c r="F44" t="s">
        <v>66</v>
      </c>
      <c r="G44" t="s">
        <v>57</v>
      </c>
      <c r="H44" t="s">
        <v>58</v>
      </c>
      <c r="I44" t="s">
        <v>67</v>
      </c>
      <c r="J44" t="s">
        <v>60</v>
      </c>
      <c r="K44" t="s">
        <v>116</v>
      </c>
      <c r="L44" t="s">
        <v>117</v>
      </c>
      <c r="M44" s="4">
        <v>496.26</v>
      </c>
      <c r="N44">
        <v>5</v>
      </c>
      <c r="O44" s="5">
        <v>0</v>
      </c>
      <c r="P44" s="4">
        <v>2481.29</v>
      </c>
      <c r="Q44" s="4">
        <v>322.39</v>
      </c>
    </row>
    <row r="45" spans="1:17">
      <c r="A45" t="s">
        <v>172</v>
      </c>
      <c r="B45" s="3">
        <v>45690</v>
      </c>
      <c r="C45" s="3">
        <v>45694</v>
      </c>
      <c r="D45" t="s">
        <v>163</v>
      </c>
      <c r="E45" t="s">
        <v>164</v>
      </c>
      <c r="F45" t="s">
        <v>50</v>
      </c>
      <c r="G45" t="s">
        <v>85</v>
      </c>
      <c r="H45" t="s">
        <v>86</v>
      </c>
      <c r="I45" t="s">
        <v>95</v>
      </c>
      <c r="J45" t="s">
        <v>44</v>
      </c>
      <c r="K45" t="s">
        <v>45</v>
      </c>
      <c r="L45" t="s">
        <v>46</v>
      </c>
      <c r="M45" s="4">
        <v>8.07</v>
      </c>
      <c r="N45">
        <v>7</v>
      </c>
      <c r="O45" s="5">
        <v>0</v>
      </c>
      <c r="P45" s="4">
        <v>56.48</v>
      </c>
      <c r="Q45" s="4">
        <v>8.69</v>
      </c>
    </row>
    <row r="46" spans="1:17">
      <c r="A46" t="s">
        <v>173</v>
      </c>
      <c r="B46" s="3">
        <v>45852</v>
      </c>
      <c r="C46" s="3">
        <v>45856</v>
      </c>
      <c r="D46" t="s">
        <v>89</v>
      </c>
      <c r="E46" t="s">
        <v>90</v>
      </c>
      <c r="F46" t="s">
        <v>40</v>
      </c>
      <c r="G46" t="s">
        <v>78</v>
      </c>
      <c r="H46" t="s">
        <v>79</v>
      </c>
      <c r="I46" t="s">
        <v>124</v>
      </c>
      <c r="J46" t="s">
        <v>60</v>
      </c>
      <c r="K46" t="s">
        <v>73</v>
      </c>
      <c r="L46" t="s">
        <v>74</v>
      </c>
      <c r="M46" s="4">
        <v>374.29</v>
      </c>
      <c r="N46">
        <v>1</v>
      </c>
      <c r="O46" s="5">
        <v>0</v>
      </c>
      <c r="P46" s="4">
        <v>374.29</v>
      </c>
      <c r="Q46" s="4">
        <v>55.21</v>
      </c>
    </row>
    <row r="47" spans="1:17">
      <c r="A47" t="s">
        <v>174</v>
      </c>
      <c r="B47" s="3">
        <v>45770</v>
      </c>
      <c r="C47" s="3">
        <v>45774</v>
      </c>
      <c r="D47" t="s">
        <v>158</v>
      </c>
      <c r="E47" t="s">
        <v>159</v>
      </c>
      <c r="F47" t="s">
        <v>40</v>
      </c>
      <c r="G47" t="s">
        <v>78</v>
      </c>
      <c r="H47" t="s">
        <v>79</v>
      </c>
      <c r="I47" t="s">
        <v>80</v>
      </c>
      <c r="J47" t="s">
        <v>60</v>
      </c>
      <c r="K47" t="s">
        <v>61</v>
      </c>
      <c r="L47" t="s">
        <v>96</v>
      </c>
      <c r="M47" s="4">
        <v>88.85</v>
      </c>
      <c r="N47">
        <v>4</v>
      </c>
      <c r="O47" s="5">
        <v>0</v>
      </c>
      <c r="P47" s="4">
        <v>355.38</v>
      </c>
      <c r="Q47" s="4">
        <v>20.350000000000001</v>
      </c>
    </row>
    <row r="48" spans="1:17">
      <c r="A48" t="s">
        <v>175</v>
      </c>
      <c r="B48" s="3">
        <v>45931</v>
      </c>
      <c r="C48" s="3">
        <v>45932</v>
      </c>
      <c r="D48" t="s">
        <v>158</v>
      </c>
      <c r="E48" t="s">
        <v>159</v>
      </c>
      <c r="F48" t="s">
        <v>50</v>
      </c>
      <c r="G48" t="s">
        <v>78</v>
      </c>
      <c r="H48" t="s">
        <v>79</v>
      </c>
      <c r="I48" t="s">
        <v>80</v>
      </c>
      <c r="J48" t="s">
        <v>44</v>
      </c>
      <c r="K48" t="s">
        <v>45</v>
      </c>
      <c r="L48" t="s">
        <v>46</v>
      </c>
      <c r="M48" s="4">
        <v>8.1</v>
      </c>
      <c r="N48">
        <v>7</v>
      </c>
      <c r="O48" s="5">
        <v>0.1</v>
      </c>
      <c r="P48" s="4">
        <v>51.05</v>
      </c>
      <c r="Q48" s="4">
        <v>2.9</v>
      </c>
    </row>
    <row r="49" spans="1:17">
      <c r="A49" t="s">
        <v>176</v>
      </c>
      <c r="B49" s="3">
        <v>45825</v>
      </c>
      <c r="C49" s="3">
        <v>45827</v>
      </c>
      <c r="D49" t="s">
        <v>154</v>
      </c>
      <c r="E49" t="s">
        <v>155</v>
      </c>
      <c r="F49" t="s">
        <v>50</v>
      </c>
      <c r="G49" t="s">
        <v>85</v>
      </c>
      <c r="H49" t="s">
        <v>86</v>
      </c>
      <c r="I49" t="s">
        <v>160</v>
      </c>
      <c r="J49" t="s">
        <v>51</v>
      </c>
      <c r="K49" t="s">
        <v>52</v>
      </c>
      <c r="L49" t="s">
        <v>81</v>
      </c>
      <c r="M49" s="4">
        <v>67.73</v>
      </c>
      <c r="N49">
        <v>8</v>
      </c>
      <c r="O49" s="5">
        <v>0</v>
      </c>
      <c r="P49" s="4">
        <v>541.79999999999995</v>
      </c>
      <c r="Q49" s="4">
        <v>146.24</v>
      </c>
    </row>
    <row r="50" spans="1:17">
      <c r="A50" t="s">
        <v>177</v>
      </c>
      <c r="B50" s="3">
        <v>45684</v>
      </c>
      <c r="C50" s="3">
        <v>45687</v>
      </c>
      <c r="D50" t="s">
        <v>64</v>
      </c>
      <c r="E50" t="s">
        <v>65</v>
      </c>
      <c r="F50" t="s">
        <v>50</v>
      </c>
      <c r="G50" t="s">
        <v>78</v>
      </c>
      <c r="H50" t="s">
        <v>79</v>
      </c>
      <c r="I50" t="s">
        <v>124</v>
      </c>
      <c r="J50" t="s">
        <v>44</v>
      </c>
      <c r="K50" t="s">
        <v>110</v>
      </c>
      <c r="L50" t="s">
        <v>111</v>
      </c>
      <c r="M50" s="4">
        <v>10.96</v>
      </c>
      <c r="N50">
        <v>4</v>
      </c>
      <c r="O50" s="5">
        <v>0.15</v>
      </c>
      <c r="P50" s="4">
        <v>37.28</v>
      </c>
      <c r="Q50" s="4">
        <v>-0.86</v>
      </c>
    </row>
    <row r="51" spans="1:17">
      <c r="A51" t="s">
        <v>178</v>
      </c>
      <c r="B51" s="3">
        <v>45722</v>
      </c>
      <c r="C51" s="3">
        <v>45726</v>
      </c>
      <c r="D51" t="s">
        <v>38</v>
      </c>
      <c r="E51" t="s">
        <v>39</v>
      </c>
      <c r="F51" t="s">
        <v>50</v>
      </c>
      <c r="G51" t="s">
        <v>85</v>
      </c>
      <c r="H51" t="s">
        <v>86</v>
      </c>
      <c r="I51" t="s">
        <v>95</v>
      </c>
      <c r="J51" t="s">
        <v>60</v>
      </c>
      <c r="K51" t="s">
        <v>116</v>
      </c>
      <c r="L51" t="s">
        <v>117</v>
      </c>
      <c r="M51" s="4">
        <v>566.57000000000005</v>
      </c>
      <c r="N51">
        <v>2</v>
      </c>
      <c r="O51" s="5">
        <v>0.1</v>
      </c>
      <c r="P51" s="4">
        <v>1019.82</v>
      </c>
      <c r="Q51" s="4">
        <v>169.55</v>
      </c>
    </row>
    <row r="52" spans="1:17">
      <c r="A52" t="s">
        <v>179</v>
      </c>
      <c r="B52" s="3">
        <v>45817</v>
      </c>
      <c r="C52" s="3">
        <v>45818</v>
      </c>
      <c r="D52" t="s">
        <v>132</v>
      </c>
      <c r="E52" t="s">
        <v>133</v>
      </c>
      <c r="F52" t="s">
        <v>40</v>
      </c>
      <c r="G52" t="s">
        <v>57</v>
      </c>
      <c r="H52" t="s">
        <v>58</v>
      </c>
      <c r="I52" t="s">
        <v>59</v>
      </c>
      <c r="J52" t="s">
        <v>60</v>
      </c>
      <c r="K52" t="s">
        <v>73</v>
      </c>
      <c r="L52" t="s">
        <v>74</v>
      </c>
      <c r="M52" s="4">
        <v>395.91</v>
      </c>
      <c r="N52">
        <v>1</v>
      </c>
      <c r="O52" s="5">
        <v>0</v>
      </c>
      <c r="P52" s="4">
        <v>395.91</v>
      </c>
      <c r="Q52" s="4">
        <v>109.67</v>
      </c>
    </row>
    <row r="53" spans="1:17">
      <c r="A53" t="s">
        <v>180</v>
      </c>
      <c r="B53" s="3">
        <v>46014</v>
      </c>
      <c r="C53" s="3">
        <v>46021</v>
      </c>
      <c r="D53" t="s">
        <v>108</v>
      </c>
      <c r="E53" t="s">
        <v>109</v>
      </c>
      <c r="F53" t="s">
        <v>40</v>
      </c>
      <c r="G53" t="s">
        <v>85</v>
      </c>
      <c r="H53" t="s">
        <v>86</v>
      </c>
      <c r="I53" t="s">
        <v>95</v>
      </c>
      <c r="J53" t="s">
        <v>60</v>
      </c>
      <c r="K53" t="s">
        <v>116</v>
      </c>
      <c r="L53" t="s">
        <v>117</v>
      </c>
      <c r="M53" s="4">
        <v>539.16</v>
      </c>
      <c r="N53">
        <v>5</v>
      </c>
      <c r="O53" s="5">
        <v>0.2</v>
      </c>
      <c r="P53" s="4">
        <v>2156.65</v>
      </c>
      <c r="Q53" s="4">
        <v>542.14</v>
      </c>
    </row>
    <row r="54" spans="1:17">
      <c r="A54" t="s">
        <v>181</v>
      </c>
      <c r="B54" s="3">
        <v>45917</v>
      </c>
      <c r="C54" s="3">
        <v>45923</v>
      </c>
      <c r="D54" t="s">
        <v>137</v>
      </c>
      <c r="E54" t="s">
        <v>138</v>
      </c>
      <c r="F54" t="s">
        <v>40</v>
      </c>
      <c r="G54" t="s">
        <v>41</v>
      </c>
      <c r="H54" t="s">
        <v>42</v>
      </c>
      <c r="I54" t="s">
        <v>119</v>
      </c>
      <c r="J54" t="s">
        <v>44</v>
      </c>
      <c r="K54" t="s">
        <v>165</v>
      </c>
      <c r="L54" t="s">
        <v>166</v>
      </c>
      <c r="M54" s="4">
        <v>16.05</v>
      </c>
      <c r="N54">
        <v>6</v>
      </c>
      <c r="O54" s="5">
        <v>0</v>
      </c>
      <c r="P54" s="4">
        <v>96.29</v>
      </c>
      <c r="Q54" s="4">
        <v>24.61</v>
      </c>
    </row>
    <row r="55" spans="1:17">
      <c r="A55" t="s">
        <v>182</v>
      </c>
      <c r="B55" s="3">
        <v>45748</v>
      </c>
      <c r="C55" s="3">
        <v>45754</v>
      </c>
      <c r="D55" t="s">
        <v>98</v>
      </c>
      <c r="E55" t="s">
        <v>99</v>
      </c>
      <c r="F55" t="s">
        <v>66</v>
      </c>
      <c r="G55" t="s">
        <v>57</v>
      </c>
      <c r="H55" t="s">
        <v>58</v>
      </c>
      <c r="I55" t="s">
        <v>67</v>
      </c>
      <c r="J55" t="s">
        <v>60</v>
      </c>
      <c r="K55" t="s">
        <v>116</v>
      </c>
      <c r="L55" t="s">
        <v>117</v>
      </c>
      <c r="M55" s="4">
        <v>552.04999999999995</v>
      </c>
      <c r="N55">
        <v>5</v>
      </c>
      <c r="O55" s="5">
        <v>0.1</v>
      </c>
      <c r="P55" s="4">
        <v>2484.2399999999998</v>
      </c>
      <c r="Q55" s="4">
        <v>458.45</v>
      </c>
    </row>
    <row r="56" spans="1:17">
      <c r="A56" t="s">
        <v>183</v>
      </c>
      <c r="B56" s="3">
        <v>45702</v>
      </c>
      <c r="C56" s="3">
        <v>45705</v>
      </c>
      <c r="D56" t="s">
        <v>38</v>
      </c>
      <c r="E56" t="s">
        <v>39</v>
      </c>
      <c r="F56" t="s">
        <v>40</v>
      </c>
      <c r="G56" t="s">
        <v>78</v>
      </c>
      <c r="H56" t="s">
        <v>79</v>
      </c>
      <c r="I56" t="s">
        <v>80</v>
      </c>
      <c r="J56" t="s">
        <v>44</v>
      </c>
      <c r="K56" t="s">
        <v>165</v>
      </c>
      <c r="L56" t="s">
        <v>166</v>
      </c>
      <c r="M56" s="4">
        <v>15.75</v>
      </c>
      <c r="N56">
        <v>8</v>
      </c>
      <c r="O56" s="5">
        <v>0</v>
      </c>
      <c r="P56" s="4">
        <v>126.01</v>
      </c>
      <c r="Q56" s="4">
        <v>24.25</v>
      </c>
    </row>
    <row r="57" spans="1:17">
      <c r="A57" t="s">
        <v>184</v>
      </c>
      <c r="B57" s="3">
        <v>45766</v>
      </c>
      <c r="C57" s="3">
        <v>45769</v>
      </c>
      <c r="D57" t="s">
        <v>121</v>
      </c>
      <c r="E57" t="s">
        <v>122</v>
      </c>
      <c r="F57" t="s">
        <v>66</v>
      </c>
      <c r="G57" t="s">
        <v>57</v>
      </c>
      <c r="H57" t="s">
        <v>58</v>
      </c>
      <c r="I57" t="s">
        <v>59</v>
      </c>
      <c r="J57" t="s">
        <v>44</v>
      </c>
      <c r="K57" t="s">
        <v>45</v>
      </c>
      <c r="L57" t="s">
        <v>46</v>
      </c>
      <c r="M57" s="4">
        <v>7.65</v>
      </c>
      <c r="N57">
        <v>5</v>
      </c>
      <c r="O57" s="5">
        <v>0</v>
      </c>
      <c r="P57" s="4">
        <v>38.24</v>
      </c>
      <c r="Q57" s="4">
        <v>7.61</v>
      </c>
    </row>
    <row r="58" spans="1:17">
      <c r="A58" t="s">
        <v>185</v>
      </c>
      <c r="B58" s="3">
        <v>45908</v>
      </c>
      <c r="C58" s="3">
        <v>45913</v>
      </c>
      <c r="D58" t="s">
        <v>98</v>
      </c>
      <c r="E58" t="s">
        <v>99</v>
      </c>
      <c r="F58" t="s">
        <v>50</v>
      </c>
      <c r="G58" t="s">
        <v>41</v>
      </c>
      <c r="H58" t="s">
        <v>42</v>
      </c>
      <c r="I58" t="s">
        <v>101</v>
      </c>
      <c r="J58" t="s">
        <v>51</v>
      </c>
      <c r="K58" t="s">
        <v>52</v>
      </c>
      <c r="L58" t="s">
        <v>53</v>
      </c>
      <c r="M58" s="4">
        <v>44.78</v>
      </c>
      <c r="N58">
        <v>4</v>
      </c>
      <c r="O58" s="5">
        <v>0.15</v>
      </c>
      <c r="P58" s="4">
        <v>152.27000000000001</v>
      </c>
      <c r="Q58" s="4">
        <v>34.71</v>
      </c>
    </row>
    <row r="59" spans="1:17">
      <c r="A59" t="s">
        <v>186</v>
      </c>
      <c r="B59" s="3">
        <v>45814</v>
      </c>
      <c r="C59" s="3">
        <v>45820</v>
      </c>
      <c r="D59" t="s">
        <v>38</v>
      </c>
      <c r="E59" t="s">
        <v>39</v>
      </c>
      <c r="F59" t="s">
        <v>66</v>
      </c>
      <c r="G59" t="s">
        <v>41</v>
      </c>
      <c r="H59" t="s">
        <v>42</v>
      </c>
      <c r="I59" t="s">
        <v>43</v>
      </c>
      <c r="J59" t="s">
        <v>51</v>
      </c>
      <c r="K59" t="s">
        <v>68</v>
      </c>
      <c r="L59" t="s">
        <v>69</v>
      </c>
      <c r="M59" s="4">
        <v>1465.51</v>
      </c>
      <c r="N59">
        <v>6</v>
      </c>
      <c r="O59" s="5">
        <v>0.05</v>
      </c>
      <c r="P59" s="4">
        <v>8353.39</v>
      </c>
      <c r="Q59" s="4">
        <v>1135.55</v>
      </c>
    </row>
    <row r="60" spans="1:17">
      <c r="A60" t="s">
        <v>187</v>
      </c>
      <c r="B60" s="3">
        <v>45786</v>
      </c>
      <c r="C60" s="3">
        <v>45788</v>
      </c>
      <c r="D60" t="s">
        <v>105</v>
      </c>
      <c r="E60" t="s">
        <v>106</v>
      </c>
      <c r="F60" t="s">
        <v>40</v>
      </c>
      <c r="G60" t="s">
        <v>57</v>
      </c>
      <c r="H60" t="s">
        <v>58</v>
      </c>
      <c r="I60" t="s">
        <v>91</v>
      </c>
      <c r="J60" t="s">
        <v>44</v>
      </c>
      <c r="K60" t="s">
        <v>165</v>
      </c>
      <c r="L60" t="s">
        <v>166</v>
      </c>
      <c r="M60" s="4">
        <v>14.08</v>
      </c>
      <c r="N60">
        <v>2</v>
      </c>
      <c r="O60" s="5">
        <v>0.15</v>
      </c>
      <c r="P60" s="4">
        <v>23.93</v>
      </c>
      <c r="Q60" s="4">
        <v>1.91</v>
      </c>
    </row>
    <row r="61" spans="1:17">
      <c r="A61" t="s">
        <v>188</v>
      </c>
      <c r="B61" s="3">
        <v>45959</v>
      </c>
      <c r="C61" s="3">
        <v>45966</v>
      </c>
      <c r="D61" t="s">
        <v>93</v>
      </c>
      <c r="E61" t="s">
        <v>94</v>
      </c>
      <c r="F61" t="s">
        <v>50</v>
      </c>
      <c r="G61" t="s">
        <v>85</v>
      </c>
      <c r="H61" t="s">
        <v>86</v>
      </c>
      <c r="I61" t="s">
        <v>95</v>
      </c>
      <c r="J61" t="s">
        <v>60</v>
      </c>
      <c r="K61" t="s">
        <v>61</v>
      </c>
      <c r="L61" t="s">
        <v>62</v>
      </c>
      <c r="M61" s="4">
        <v>69.319999999999993</v>
      </c>
      <c r="N61">
        <v>5</v>
      </c>
      <c r="O61" s="5">
        <v>0</v>
      </c>
      <c r="P61" s="4">
        <v>346.62</v>
      </c>
      <c r="Q61" s="4">
        <v>43</v>
      </c>
    </row>
    <row r="62" spans="1:17">
      <c r="A62" t="s">
        <v>189</v>
      </c>
      <c r="B62" s="3">
        <v>45681</v>
      </c>
      <c r="C62" s="3">
        <v>45682</v>
      </c>
      <c r="D62" t="s">
        <v>93</v>
      </c>
      <c r="E62" t="s">
        <v>94</v>
      </c>
      <c r="F62" t="s">
        <v>40</v>
      </c>
      <c r="G62" t="s">
        <v>57</v>
      </c>
      <c r="H62" t="s">
        <v>58</v>
      </c>
      <c r="I62" t="s">
        <v>59</v>
      </c>
      <c r="J62" t="s">
        <v>60</v>
      </c>
      <c r="K62" t="s">
        <v>116</v>
      </c>
      <c r="L62" t="s">
        <v>117</v>
      </c>
      <c r="M62" s="4">
        <v>566.19000000000005</v>
      </c>
      <c r="N62">
        <v>5</v>
      </c>
      <c r="O62" s="5">
        <v>0.15</v>
      </c>
      <c r="P62" s="4">
        <v>2406.29</v>
      </c>
      <c r="Q62" s="4">
        <v>504.04</v>
      </c>
    </row>
    <row r="63" spans="1:17">
      <c r="A63" t="s">
        <v>190</v>
      </c>
      <c r="B63" s="3">
        <v>45883</v>
      </c>
      <c r="C63" s="3">
        <v>45886</v>
      </c>
      <c r="D63" t="s">
        <v>121</v>
      </c>
      <c r="E63" t="s">
        <v>122</v>
      </c>
      <c r="F63" t="s">
        <v>40</v>
      </c>
      <c r="G63" t="s">
        <v>41</v>
      </c>
      <c r="H63" t="s">
        <v>42</v>
      </c>
      <c r="I63" t="s">
        <v>43</v>
      </c>
      <c r="J63" t="s">
        <v>44</v>
      </c>
      <c r="K63" t="s">
        <v>143</v>
      </c>
      <c r="L63" t="s">
        <v>144</v>
      </c>
      <c r="M63" s="4">
        <v>17.11</v>
      </c>
      <c r="N63">
        <v>3</v>
      </c>
      <c r="O63" s="5">
        <v>0</v>
      </c>
      <c r="P63" s="4">
        <v>51.33</v>
      </c>
      <c r="Q63" s="4">
        <v>13.62</v>
      </c>
    </row>
    <row r="64" spans="1:17">
      <c r="A64" t="s">
        <v>191</v>
      </c>
      <c r="B64" s="3">
        <v>45735</v>
      </c>
      <c r="C64" s="3">
        <v>45737</v>
      </c>
      <c r="D64" t="s">
        <v>71</v>
      </c>
      <c r="E64" t="s">
        <v>72</v>
      </c>
      <c r="F64" t="s">
        <v>66</v>
      </c>
      <c r="G64" t="s">
        <v>41</v>
      </c>
      <c r="H64" t="s">
        <v>42</v>
      </c>
      <c r="I64" t="s">
        <v>119</v>
      </c>
      <c r="J64" t="s">
        <v>51</v>
      </c>
      <c r="K64" t="s">
        <v>102</v>
      </c>
      <c r="L64" t="s">
        <v>103</v>
      </c>
      <c r="M64" s="4">
        <v>351.61</v>
      </c>
      <c r="N64">
        <v>5</v>
      </c>
      <c r="O64" s="5">
        <v>0</v>
      </c>
      <c r="P64" s="4">
        <v>1758.05</v>
      </c>
      <c r="Q64" s="4">
        <v>139.96</v>
      </c>
    </row>
    <row r="65" spans="1:17">
      <c r="A65" t="s">
        <v>192</v>
      </c>
      <c r="B65" s="3">
        <v>45959</v>
      </c>
      <c r="C65" s="3">
        <v>45963</v>
      </c>
      <c r="D65" t="s">
        <v>105</v>
      </c>
      <c r="E65" t="s">
        <v>106</v>
      </c>
      <c r="F65" t="s">
        <v>66</v>
      </c>
      <c r="G65" t="s">
        <v>85</v>
      </c>
      <c r="H65" t="s">
        <v>86</v>
      </c>
      <c r="I65" t="s">
        <v>87</v>
      </c>
      <c r="J65" t="s">
        <v>44</v>
      </c>
      <c r="K65" t="s">
        <v>143</v>
      </c>
      <c r="L65" t="s">
        <v>144</v>
      </c>
      <c r="M65" s="4">
        <v>18.440000000000001</v>
      </c>
      <c r="N65">
        <v>5</v>
      </c>
      <c r="O65" s="5">
        <v>0.1</v>
      </c>
      <c r="P65" s="4">
        <v>82.96</v>
      </c>
      <c r="Q65" s="4">
        <v>16.79</v>
      </c>
    </row>
    <row r="66" spans="1:17">
      <c r="A66" t="s">
        <v>193</v>
      </c>
      <c r="B66" s="3">
        <v>45780</v>
      </c>
      <c r="C66" s="3">
        <v>45782</v>
      </c>
      <c r="D66" t="s">
        <v>132</v>
      </c>
      <c r="E66" t="s">
        <v>133</v>
      </c>
      <c r="F66" t="s">
        <v>50</v>
      </c>
      <c r="G66" t="s">
        <v>85</v>
      </c>
      <c r="H66" t="s">
        <v>86</v>
      </c>
      <c r="I66" t="s">
        <v>87</v>
      </c>
      <c r="J66" t="s">
        <v>44</v>
      </c>
      <c r="K66" t="s">
        <v>110</v>
      </c>
      <c r="L66" t="s">
        <v>111</v>
      </c>
      <c r="M66" s="4">
        <v>10.81</v>
      </c>
      <c r="N66">
        <v>2</v>
      </c>
      <c r="O66" s="5">
        <v>0</v>
      </c>
      <c r="P66" s="4">
        <v>21.61</v>
      </c>
      <c r="Q66" s="4">
        <v>3.51</v>
      </c>
    </row>
    <row r="67" spans="1:17">
      <c r="A67" t="s">
        <v>194</v>
      </c>
      <c r="B67" s="3">
        <v>45694</v>
      </c>
      <c r="C67" s="3">
        <v>45700</v>
      </c>
      <c r="D67" t="s">
        <v>83</v>
      </c>
      <c r="E67" t="s">
        <v>84</v>
      </c>
      <c r="F67" t="s">
        <v>50</v>
      </c>
      <c r="G67" t="s">
        <v>57</v>
      </c>
      <c r="H67" t="s">
        <v>58</v>
      </c>
      <c r="I67" t="s">
        <v>59</v>
      </c>
      <c r="J67" t="s">
        <v>44</v>
      </c>
      <c r="K67" t="s">
        <v>165</v>
      </c>
      <c r="L67" t="s">
        <v>166</v>
      </c>
      <c r="M67" s="4">
        <v>15.86</v>
      </c>
      <c r="N67">
        <v>4</v>
      </c>
      <c r="O67" s="5">
        <v>0</v>
      </c>
      <c r="P67" s="4">
        <v>63.45</v>
      </c>
      <c r="Q67" s="4">
        <v>13.09</v>
      </c>
    </row>
    <row r="68" spans="1:17">
      <c r="A68" t="s">
        <v>195</v>
      </c>
      <c r="B68" s="3">
        <v>45794</v>
      </c>
      <c r="C68" s="3">
        <v>45801</v>
      </c>
      <c r="D68" t="s">
        <v>113</v>
      </c>
      <c r="E68" t="s">
        <v>114</v>
      </c>
      <c r="F68" t="s">
        <v>50</v>
      </c>
      <c r="G68" t="s">
        <v>85</v>
      </c>
      <c r="H68" t="s">
        <v>86</v>
      </c>
      <c r="I68" t="s">
        <v>160</v>
      </c>
      <c r="J68" t="s">
        <v>60</v>
      </c>
      <c r="K68" t="s">
        <v>116</v>
      </c>
      <c r="L68" t="s">
        <v>117</v>
      </c>
      <c r="M68" s="4">
        <v>474.2</v>
      </c>
      <c r="N68">
        <v>3</v>
      </c>
      <c r="O68" s="5">
        <v>0</v>
      </c>
      <c r="P68" s="4">
        <v>1422.61</v>
      </c>
      <c r="Q68" s="4">
        <v>353.03</v>
      </c>
    </row>
    <row r="69" spans="1:17">
      <c r="A69" t="s">
        <v>196</v>
      </c>
      <c r="B69" s="3">
        <v>45797</v>
      </c>
      <c r="C69" s="3">
        <v>45802</v>
      </c>
      <c r="D69" t="s">
        <v>154</v>
      </c>
      <c r="E69" t="s">
        <v>155</v>
      </c>
      <c r="F69" t="s">
        <v>50</v>
      </c>
      <c r="G69" t="s">
        <v>57</v>
      </c>
      <c r="H69" t="s">
        <v>58</v>
      </c>
      <c r="I69" t="s">
        <v>91</v>
      </c>
      <c r="J69" t="s">
        <v>44</v>
      </c>
      <c r="K69" t="s">
        <v>165</v>
      </c>
      <c r="L69" t="s">
        <v>166</v>
      </c>
      <c r="M69" s="4">
        <v>13.74</v>
      </c>
      <c r="N69">
        <v>8</v>
      </c>
      <c r="O69" s="5">
        <v>0.05</v>
      </c>
      <c r="P69" s="4">
        <v>104.43</v>
      </c>
      <c r="Q69" s="4">
        <v>6.26</v>
      </c>
    </row>
    <row r="70" spans="1:17">
      <c r="A70" t="s">
        <v>197</v>
      </c>
      <c r="B70" s="3">
        <v>46003</v>
      </c>
      <c r="C70" s="3">
        <v>46010</v>
      </c>
      <c r="D70" t="s">
        <v>38</v>
      </c>
      <c r="E70" t="s">
        <v>39</v>
      </c>
      <c r="F70" t="s">
        <v>66</v>
      </c>
      <c r="G70" t="s">
        <v>57</v>
      </c>
      <c r="H70" t="s">
        <v>58</v>
      </c>
      <c r="I70" t="s">
        <v>67</v>
      </c>
      <c r="J70" t="s">
        <v>51</v>
      </c>
      <c r="K70" t="s">
        <v>125</v>
      </c>
      <c r="L70" t="s">
        <v>126</v>
      </c>
      <c r="M70" s="4">
        <v>879.29</v>
      </c>
      <c r="N70">
        <v>1</v>
      </c>
      <c r="O70" s="5">
        <v>0.2</v>
      </c>
      <c r="P70" s="4">
        <v>703.43</v>
      </c>
      <c r="Q70" s="4">
        <v>-67.27</v>
      </c>
    </row>
    <row r="71" spans="1:17">
      <c r="A71" t="s">
        <v>198</v>
      </c>
      <c r="B71" s="3">
        <v>45957</v>
      </c>
      <c r="C71" s="3">
        <v>45961</v>
      </c>
      <c r="D71" t="s">
        <v>132</v>
      </c>
      <c r="E71" t="s">
        <v>133</v>
      </c>
      <c r="F71" t="s">
        <v>40</v>
      </c>
      <c r="G71" t="s">
        <v>78</v>
      </c>
      <c r="H71" t="s">
        <v>79</v>
      </c>
      <c r="I71" t="s">
        <v>80</v>
      </c>
      <c r="J71" t="s">
        <v>44</v>
      </c>
      <c r="K71" t="s">
        <v>165</v>
      </c>
      <c r="L71" t="s">
        <v>166</v>
      </c>
      <c r="M71" s="4">
        <v>14.91</v>
      </c>
      <c r="N71">
        <v>8</v>
      </c>
      <c r="O71" s="5">
        <v>0</v>
      </c>
      <c r="P71" s="4">
        <v>119.28</v>
      </c>
      <c r="Q71" s="4">
        <v>18.14</v>
      </c>
    </row>
    <row r="72" spans="1:17">
      <c r="A72" t="s">
        <v>199</v>
      </c>
      <c r="B72" s="3">
        <v>45997</v>
      </c>
      <c r="C72" s="3">
        <v>46001</v>
      </c>
      <c r="D72" t="s">
        <v>105</v>
      </c>
      <c r="E72" t="s">
        <v>106</v>
      </c>
      <c r="F72" t="s">
        <v>66</v>
      </c>
      <c r="G72" t="s">
        <v>41</v>
      </c>
      <c r="H72" t="s">
        <v>42</v>
      </c>
      <c r="I72" t="s">
        <v>43</v>
      </c>
      <c r="J72" t="s">
        <v>44</v>
      </c>
      <c r="K72" t="s">
        <v>143</v>
      </c>
      <c r="L72" t="s">
        <v>144</v>
      </c>
      <c r="M72" s="4">
        <v>16.52</v>
      </c>
      <c r="N72">
        <v>1</v>
      </c>
      <c r="O72" s="5">
        <v>0.05</v>
      </c>
      <c r="P72" s="4">
        <v>15.69</v>
      </c>
      <c r="Q72" s="4">
        <v>1.77</v>
      </c>
    </row>
    <row r="73" spans="1:17">
      <c r="A73" t="s">
        <v>200</v>
      </c>
      <c r="B73" s="3">
        <v>45869</v>
      </c>
      <c r="C73" s="3">
        <v>45870</v>
      </c>
      <c r="D73" t="s">
        <v>83</v>
      </c>
      <c r="E73" t="s">
        <v>84</v>
      </c>
      <c r="F73" t="s">
        <v>50</v>
      </c>
      <c r="G73" t="s">
        <v>78</v>
      </c>
      <c r="H73" t="s">
        <v>79</v>
      </c>
      <c r="I73" t="s">
        <v>80</v>
      </c>
      <c r="J73" t="s">
        <v>60</v>
      </c>
      <c r="K73" t="s">
        <v>61</v>
      </c>
      <c r="L73" t="s">
        <v>96</v>
      </c>
      <c r="M73" s="4">
        <v>87.51</v>
      </c>
      <c r="N73">
        <v>4</v>
      </c>
      <c r="O73" s="5">
        <v>0.1</v>
      </c>
      <c r="P73" s="4">
        <v>315.04000000000002</v>
      </c>
      <c r="Q73" s="4">
        <v>75.33</v>
      </c>
    </row>
    <row r="74" spans="1:17">
      <c r="A74" t="s">
        <v>201</v>
      </c>
      <c r="B74" s="3">
        <v>45882</v>
      </c>
      <c r="C74" s="3">
        <v>45888</v>
      </c>
      <c r="D74" t="s">
        <v>105</v>
      </c>
      <c r="E74" t="s">
        <v>106</v>
      </c>
      <c r="F74" t="s">
        <v>66</v>
      </c>
      <c r="G74" t="s">
        <v>41</v>
      </c>
      <c r="H74" t="s">
        <v>42</v>
      </c>
      <c r="I74" t="s">
        <v>43</v>
      </c>
      <c r="J74" t="s">
        <v>60</v>
      </c>
      <c r="K74" t="s">
        <v>116</v>
      </c>
      <c r="L74" t="s">
        <v>117</v>
      </c>
      <c r="M74" s="4">
        <v>471</v>
      </c>
      <c r="N74">
        <v>8</v>
      </c>
      <c r="O74" s="5">
        <v>0</v>
      </c>
      <c r="P74" s="4">
        <v>3768.02</v>
      </c>
      <c r="Q74" s="4">
        <v>781.89</v>
      </c>
    </row>
    <row r="75" spans="1:17">
      <c r="A75" t="s">
        <v>202</v>
      </c>
      <c r="B75" s="3">
        <v>45705</v>
      </c>
      <c r="C75" s="3">
        <v>45707</v>
      </c>
      <c r="D75" t="s">
        <v>98</v>
      </c>
      <c r="E75" t="s">
        <v>99</v>
      </c>
      <c r="F75" t="s">
        <v>40</v>
      </c>
      <c r="G75" t="s">
        <v>85</v>
      </c>
      <c r="H75" t="s">
        <v>86</v>
      </c>
      <c r="I75" t="s">
        <v>160</v>
      </c>
      <c r="J75" t="s">
        <v>51</v>
      </c>
      <c r="K75" t="s">
        <v>102</v>
      </c>
      <c r="L75" t="s">
        <v>103</v>
      </c>
      <c r="M75" s="4">
        <v>348.61</v>
      </c>
      <c r="N75">
        <v>2</v>
      </c>
      <c r="O75" s="5">
        <v>0.05</v>
      </c>
      <c r="P75" s="4">
        <v>662.36</v>
      </c>
      <c r="Q75" s="4">
        <v>140.37</v>
      </c>
    </row>
    <row r="76" spans="1:17">
      <c r="A76" t="s">
        <v>203</v>
      </c>
      <c r="B76" s="3">
        <v>45899</v>
      </c>
      <c r="C76" s="3">
        <v>45901</v>
      </c>
      <c r="D76" t="s">
        <v>121</v>
      </c>
      <c r="E76" t="s">
        <v>122</v>
      </c>
      <c r="F76" t="s">
        <v>40</v>
      </c>
      <c r="G76" t="s">
        <v>57</v>
      </c>
      <c r="H76" t="s">
        <v>58</v>
      </c>
      <c r="I76" t="s">
        <v>67</v>
      </c>
      <c r="J76" t="s">
        <v>44</v>
      </c>
      <c r="K76" t="s">
        <v>143</v>
      </c>
      <c r="L76" t="s">
        <v>144</v>
      </c>
      <c r="M76" s="4">
        <v>16.72</v>
      </c>
      <c r="N76">
        <v>8</v>
      </c>
      <c r="O76" s="5">
        <v>0.1</v>
      </c>
      <c r="P76" s="4">
        <v>120.39</v>
      </c>
      <c r="Q76" s="4">
        <v>11.76</v>
      </c>
    </row>
    <row r="77" spans="1:17">
      <c r="A77" t="s">
        <v>204</v>
      </c>
      <c r="B77" s="3">
        <v>45794</v>
      </c>
      <c r="C77" s="3">
        <v>45801</v>
      </c>
      <c r="D77" t="s">
        <v>48</v>
      </c>
      <c r="E77" t="s">
        <v>49</v>
      </c>
      <c r="F77" t="s">
        <v>66</v>
      </c>
      <c r="G77" t="s">
        <v>85</v>
      </c>
      <c r="H77" t="s">
        <v>86</v>
      </c>
      <c r="I77" t="s">
        <v>95</v>
      </c>
      <c r="J77" t="s">
        <v>44</v>
      </c>
      <c r="K77" t="s">
        <v>165</v>
      </c>
      <c r="L77" t="s">
        <v>166</v>
      </c>
      <c r="M77" s="4">
        <v>15.68</v>
      </c>
      <c r="N77">
        <v>1</v>
      </c>
      <c r="O77" s="5">
        <v>0</v>
      </c>
      <c r="P77" s="4">
        <v>15.68</v>
      </c>
      <c r="Q77" s="4">
        <v>4.07</v>
      </c>
    </row>
    <row r="78" spans="1:17">
      <c r="A78" t="s">
        <v>205</v>
      </c>
      <c r="B78" s="3">
        <v>45828</v>
      </c>
      <c r="C78" s="3">
        <v>45833</v>
      </c>
      <c r="D78" t="s">
        <v>76</v>
      </c>
      <c r="E78" t="s">
        <v>77</v>
      </c>
      <c r="F78" t="s">
        <v>66</v>
      </c>
      <c r="G78" t="s">
        <v>78</v>
      </c>
      <c r="H78" t="s">
        <v>79</v>
      </c>
      <c r="I78" t="s">
        <v>135</v>
      </c>
      <c r="J78" t="s">
        <v>60</v>
      </c>
      <c r="K78" t="s">
        <v>61</v>
      </c>
      <c r="L78" t="s">
        <v>62</v>
      </c>
      <c r="M78" s="4">
        <v>70.63</v>
      </c>
      <c r="N78">
        <v>7</v>
      </c>
      <c r="O78" s="5">
        <v>0.05</v>
      </c>
      <c r="P78" s="4">
        <v>469.67</v>
      </c>
      <c r="Q78" s="4">
        <v>125.59</v>
      </c>
    </row>
    <row r="79" spans="1:17">
      <c r="A79" t="s">
        <v>206</v>
      </c>
      <c r="B79" s="3">
        <v>45820</v>
      </c>
      <c r="C79" s="3">
        <v>45826</v>
      </c>
      <c r="D79" t="s">
        <v>71</v>
      </c>
      <c r="E79" t="s">
        <v>72</v>
      </c>
      <c r="F79" t="s">
        <v>66</v>
      </c>
      <c r="G79" t="s">
        <v>85</v>
      </c>
      <c r="H79" t="s">
        <v>86</v>
      </c>
      <c r="I79" t="s">
        <v>87</v>
      </c>
      <c r="J79" t="s">
        <v>51</v>
      </c>
      <c r="K79" t="s">
        <v>68</v>
      </c>
      <c r="L79" t="s">
        <v>69</v>
      </c>
      <c r="M79" s="4">
        <v>1569.89</v>
      </c>
      <c r="N79">
        <v>8</v>
      </c>
      <c r="O79" s="5">
        <v>0.15</v>
      </c>
      <c r="P79" s="4">
        <v>10675.28</v>
      </c>
      <c r="Q79" s="4">
        <v>1551.2</v>
      </c>
    </row>
    <row r="80" spans="1:17">
      <c r="A80" t="s">
        <v>207</v>
      </c>
      <c r="B80" s="3">
        <v>45827</v>
      </c>
      <c r="C80" s="3">
        <v>45834</v>
      </c>
      <c r="D80" t="s">
        <v>89</v>
      </c>
      <c r="E80" t="s">
        <v>90</v>
      </c>
      <c r="F80" t="s">
        <v>50</v>
      </c>
      <c r="G80" t="s">
        <v>85</v>
      </c>
      <c r="H80" t="s">
        <v>86</v>
      </c>
      <c r="I80" t="s">
        <v>160</v>
      </c>
      <c r="J80" t="s">
        <v>51</v>
      </c>
      <c r="K80" t="s">
        <v>102</v>
      </c>
      <c r="L80" t="s">
        <v>103</v>
      </c>
      <c r="M80" s="4">
        <v>342.08</v>
      </c>
      <c r="N80">
        <v>2</v>
      </c>
      <c r="O80" s="5">
        <v>0.2</v>
      </c>
      <c r="P80" s="4">
        <v>547.33000000000004</v>
      </c>
      <c r="Q80" s="4">
        <v>41.01</v>
      </c>
    </row>
    <row r="81" spans="1:17">
      <c r="A81" t="s">
        <v>208</v>
      </c>
      <c r="B81" s="3">
        <v>45898</v>
      </c>
      <c r="C81" s="3">
        <v>45905</v>
      </c>
      <c r="D81" t="s">
        <v>137</v>
      </c>
      <c r="E81" t="s">
        <v>138</v>
      </c>
      <c r="F81" t="s">
        <v>50</v>
      </c>
      <c r="G81" t="s">
        <v>41</v>
      </c>
      <c r="H81" t="s">
        <v>42</v>
      </c>
      <c r="I81" t="s">
        <v>101</v>
      </c>
      <c r="J81" t="s">
        <v>44</v>
      </c>
      <c r="K81" t="s">
        <v>45</v>
      </c>
      <c r="L81" t="s">
        <v>46</v>
      </c>
      <c r="M81" s="4">
        <v>8.1999999999999993</v>
      </c>
      <c r="N81">
        <v>5</v>
      </c>
      <c r="O81" s="5">
        <v>0</v>
      </c>
      <c r="P81" s="4">
        <v>40.99</v>
      </c>
      <c r="Q81" s="4">
        <v>-2.17</v>
      </c>
    </row>
    <row r="82" spans="1:17">
      <c r="A82" t="s">
        <v>209</v>
      </c>
      <c r="B82" s="3">
        <v>45676</v>
      </c>
      <c r="C82" s="3">
        <v>45681</v>
      </c>
      <c r="D82" t="s">
        <v>64</v>
      </c>
      <c r="E82" t="s">
        <v>65</v>
      </c>
      <c r="F82" t="s">
        <v>40</v>
      </c>
      <c r="G82" t="s">
        <v>78</v>
      </c>
      <c r="H82" t="s">
        <v>79</v>
      </c>
      <c r="I82" t="s">
        <v>124</v>
      </c>
      <c r="J82" t="s">
        <v>60</v>
      </c>
      <c r="K82" t="s">
        <v>61</v>
      </c>
      <c r="L82" t="s">
        <v>62</v>
      </c>
      <c r="M82" s="4">
        <v>66.709999999999994</v>
      </c>
      <c r="N82">
        <v>2</v>
      </c>
      <c r="O82" s="5">
        <v>0</v>
      </c>
      <c r="P82" s="4">
        <v>133.41</v>
      </c>
      <c r="Q82" s="4">
        <v>37.39</v>
      </c>
    </row>
    <row r="83" spans="1:17">
      <c r="A83" t="s">
        <v>210</v>
      </c>
      <c r="B83" s="3">
        <v>45743</v>
      </c>
      <c r="C83" s="3">
        <v>45749</v>
      </c>
      <c r="D83" t="s">
        <v>83</v>
      </c>
      <c r="E83" t="s">
        <v>84</v>
      </c>
      <c r="F83" t="s">
        <v>50</v>
      </c>
      <c r="G83" t="s">
        <v>41</v>
      </c>
      <c r="H83" t="s">
        <v>42</v>
      </c>
      <c r="I83" t="s">
        <v>119</v>
      </c>
      <c r="J83" t="s">
        <v>60</v>
      </c>
      <c r="K83" t="s">
        <v>73</v>
      </c>
      <c r="L83" t="s">
        <v>74</v>
      </c>
      <c r="M83" s="4">
        <v>354.59</v>
      </c>
      <c r="N83">
        <v>5</v>
      </c>
      <c r="O83" s="5">
        <v>0</v>
      </c>
      <c r="P83" s="4">
        <v>1772.94</v>
      </c>
      <c r="Q83" s="4">
        <v>441.53</v>
      </c>
    </row>
    <row r="84" spans="1:17">
      <c r="A84" t="s">
        <v>211</v>
      </c>
      <c r="B84" s="3">
        <v>45947</v>
      </c>
      <c r="C84" s="3">
        <v>45953</v>
      </c>
      <c r="D84" t="s">
        <v>98</v>
      </c>
      <c r="E84" t="s">
        <v>99</v>
      </c>
      <c r="F84" t="s">
        <v>50</v>
      </c>
      <c r="G84" t="s">
        <v>57</v>
      </c>
      <c r="H84" t="s">
        <v>58</v>
      </c>
      <c r="I84" t="s">
        <v>91</v>
      </c>
      <c r="J84" t="s">
        <v>51</v>
      </c>
      <c r="K84" t="s">
        <v>102</v>
      </c>
      <c r="L84" t="s">
        <v>103</v>
      </c>
      <c r="M84" s="4">
        <v>299.2</v>
      </c>
      <c r="N84">
        <v>3</v>
      </c>
      <c r="O84" s="5">
        <v>0</v>
      </c>
      <c r="P84" s="4">
        <v>897.61</v>
      </c>
      <c r="Q84" s="4">
        <v>181.65</v>
      </c>
    </row>
    <row r="85" spans="1:17">
      <c r="A85" t="s">
        <v>212</v>
      </c>
      <c r="B85" s="3">
        <v>45984</v>
      </c>
      <c r="C85" s="3">
        <v>45987</v>
      </c>
      <c r="D85" t="s">
        <v>83</v>
      </c>
      <c r="E85" t="s">
        <v>84</v>
      </c>
      <c r="F85" t="s">
        <v>40</v>
      </c>
      <c r="G85" t="s">
        <v>85</v>
      </c>
      <c r="H85" t="s">
        <v>86</v>
      </c>
      <c r="I85" t="s">
        <v>160</v>
      </c>
      <c r="J85" t="s">
        <v>51</v>
      </c>
      <c r="K85" t="s">
        <v>52</v>
      </c>
      <c r="L85" t="s">
        <v>53</v>
      </c>
      <c r="M85" s="4">
        <v>46.5</v>
      </c>
      <c r="N85">
        <v>8</v>
      </c>
      <c r="O85" s="5">
        <v>0</v>
      </c>
      <c r="P85" s="4">
        <v>372.01</v>
      </c>
      <c r="Q85" s="4">
        <v>102.2</v>
      </c>
    </row>
    <row r="86" spans="1:17">
      <c r="A86" t="s">
        <v>213</v>
      </c>
      <c r="B86" s="3">
        <v>45834</v>
      </c>
      <c r="C86" s="3">
        <v>45839</v>
      </c>
      <c r="D86" t="s">
        <v>83</v>
      </c>
      <c r="E86" t="s">
        <v>84</v>
      </c>
      <c r="F86" t="s">
        <v>40</v>
      </c>
      <c r="G86" t="s">
        <v>57</v>
      </c>
      <c r="H86" t="s">
        <v>58</v>
      </c>
      <c r="I86" t="s">
        <v>67</v>
      </c>
      <c r="J86" t="s">
        <v>51</v>
      </c>
      <c r="K86" t="s">
        <v>125</v>
      </c>
      <c r="L86" t="s">
        <v>126</v>
      </c>
      <c r="M86" s="4">
        <v>928.54</v>
      </c>
      <c r="N86">
        <v>5</v>
      </c>
      <c r="O86" s="5">
        <v>0.15</v>
      </c>
      <c r="P86" s="4">
        <v>3946.32</v>
      </c>
      <c r="Q86" s="4">
        <v>878.37</v>
      </c>
    </row>
    <row r="87" spans="1:17">
      <c r="A87" t="s">
        <v>214</v>
      </c>
      <c r="B87" s="3">
        <v>45853</v>
      </c>
      <c r="C87" s="3">
        <v>45858</v>
      </c>
      <c r="D87" t="s">
        <v>38</v>
      </c>
      <c r="E87" t="s">
        <v>39</v>
      </c>
      <c r="F87" t="s">
        <v>66</v>
      </c>
      <c r="G87" t="s">
        <v>57</v>
      </c>
      <c r="H87" t="s">
        <v>58</v>
      </c>
      <c r="I87" t="s">
        <v>59</v>
      </c>
      <c r="J87" t="s">
        <v>44</v>
      </c>
      <c r="K87" t="s">
        <v>110</v>
      </c>
      <c r="L87" t="s">
        <v>111</v>
      </c>
      <c r="M87" s="4">
        <v>11.51</v>
      </c>
      <c r="N87">
        <v>6</v>
      </c>
      <c r="O87" s="5">
        <v>0.1</v>
      </c>
      <c r="P87" s="4">
        <v>62.15</v>
      </c>
      <c r="Q87" s="4">
        <v>-6.4</v>
      </c>
    </row>
    <row r="88" spans="1:17">
      <c r="A88" t="s">
        <v>215</v>
      </c>
      <c r="B88" s="3">
        <v>45912</v>
      </c>
      <c r="C88" s="3">
        <v>45919</v>
      </c>
      <c r="D88" t="s">
        <v>158</v>
      </c>
      <c r="E88" t="s">
        <v>159</v>
      </c>
      <c r="F88" t="s">
        <v>50</v>
      </c>
      <c r="G88" t="s">
        <v>78</v>
      </c>
      <c r="H88" t="s">
        <v>79</v>
      </c>
      <c r="I88" t="s">
        <v>124</v>
      </c>
      <c r="J88" t="s">
        <v>60</v>
      </c>
      <c r="K88" t="s">
        <v>73</v>
      </c>
      <c r="L88" t="s">
        <v>74</v>
      </c>
      <c r="M88" s="4">
        <v>413.31</v>
      </c>
      <c r="N88">
        <v>5</v>
      </c>
      <c r="O88" s="5">
        <v>0.2</v>
      </c>
      <c r="P88" s="4">
        <v>1653.24</v>
      </c>
      <c r="Q88" s="4">
        <v>333.57</v>
      </c>
    </row>
    <row r="89" spans="1:17">
      <c r="A89" t="s">
        <v>216</v>
      </c>
      <c r="B89" s="3">
        <v>45979</v>
      </c>
      <c r="C89" s="3">
        <v>45985</v>
      </c>
      <c r="D89" t="s">
        <v>108</v>
      </c>
      <c r="E89" t="s">
        <v>109</v>
      </c>
      <c r="F89" t="s">
        <v>66</v>
      </c>
      <c r="G89" t="s">
        <v>85</v>
      </c>
      <c r="H89" t="s">
        <v>86</v>
      </c>
      <c r="I89" t="s">
        <v>87</v>
      </c>
      <c r="J89" t="s">
        <v>60</v>
      </c>
      <c r="K89" t="s">
        <v>116</v>
      </c>
      <c r="L89" t="s">
        <v>117</v>
      </c>
      <c r="M89" s="4">
        <v>550.02</v>
      </c>
      <c r="N89">
        <v>1</v>
      </c>
      <c r="O89" s="5">
        <v>0</v>
      </c>
      <c r="P89" s="4">
        <v>550.02</v>
      </c>
      <c r="Q89" s="4">
        <v>32.090000000000003</v>
      </c>
    </row>
    <row r="90" spans="1:17">
      <c r="A90" t="s">
        <v>217</v>
      </c>
      <c r="B90" s="3">
        <v>45760</v>
      </c>
      <c r="C90" s="3">
        <v>45762</v>
      </c>
      <c r="D90" t="s">
        <v>132</v>
      </c>
      <c r="E90" t="s">
        <v>133</v>
      </c>
      <c r="F90" t="s">
        <v>66</v>
      </c>
      <c r="G90" t="s">
        <v>85</v>
      </c>
      <c r="H90" t="s">
        <v>86</v>
      </c>
      <c r="I90" t="s">
        <v>95</v>
      </c>
      <c r="J90" t="s">
        <v>44</v>
      </c>
      <c r="K90" t="s">
        <v>143</v>
      </c>
      <c r="L90" t="s">
        <v>144</v>
      </c>
      <c r="M90" s="4">
        <v>18.010000000000002</v>
      </c>
      <c r="N90">
        <v>6</v>
      </c>
      <c r="O90" s="5">
        <v>0.1</v>
      </c>
      <c r="P90" s="4">
        <v>97.23</v>
      </c>
      <c r="Q90" s="4">
        <v>11.49</v>
      </c>
    </row>
    <row r="91" spans="1:17">
      <c r="A91" t="s">
        <v>218</v>
      </c>
      <c r="B91" s="3">
        <v>45696</v>
      </c>
      <c r="C91" s="3">
        <v>45698</v>
      </c>
      <c r="D91" t="s">
        <v>83</v>
      </c>
      <c r="E91" t="s">
        <v>84</v>
      </c>
      <c r="F91" t="s">
        <v>40</v>
      </c>
      <c r="G91" t="s">
        <v>78</v>
      </c>
      <c r="H91" t="s">
        <v>79</v>
      </c>
      <c r="I91" t="s">
        <v>124</v>
      </c>
      <c r="J91" t="s">
        <v>44</v>
      </c>
      <c r="K91" t="s">
        <v>110</v>
      </c>
      <c r="L91" t="s">
        <v>111</v>
      </c>
      <c r="M91" s="4">
        <v>12.42</v>
      </c>
      <c r="N91">
        <v>4</v>
      </c>
      <c r="O91" s="5">
        <v>0.2</v>
      </c>
      <c r="P91" s="4">
        <v>39.75</v>
      </c>
      <c r="Q91" s="4">
        <v>8.69</v>
      </c>
    </row>
    <row r="92" spans="1:17">
      <c r="A92" t="s">
        <v>219</v>
      </c>
      <c r="B92" s="3">
        <v>45721</v>
      </c>
      <c r="C92" s="3">
        <v>45725</v>
      </c>
      <c r="D92" t="s">
        <v>64</v>
      </c>
      <c r="E92" t="s">
        <v>65</v>
      </c>
      <c r="F92" t="s">
        <v>66</v>
      </c>
      <c r="G92" t="s">
        <v>57</v>
      </c>
      <c r="H92" t="s">
        <v>58</v>
      </c>
      <c r="I92" t="s">
        <v>59</v>
      </c>
      <c r="J92" t="s">
        <v>51</v>
      </c>
      <c r="K92" t="s">
        <v>52</v>
      </c>
      <c r="L92" t="s">
        <v>81</v>
      </c>
      <c r="M92" s="4">
        <v>73.489999999999995</v>
      </c>
      <c r="N92">
        <v>6</v>
      </c>
      <c r="O92" s="5">
        <v>0.15</v>
      </c>
      <c r="P92" s="4">
        <v>374.78</v>
      </c>
      <c r="Q92" s="4">
        <v>43.3</v>
      </c>
    </row>
    <row r="93" spans="1:17">
      <c r="A93" t="s">
        <v>220</v>
      </c>
      <c r="B93" s="3">
        <v>45975</v>
      </c>
      <c r="C93" s="3">
        <v>45980</v>
      </c>
      <c r="D93" t="s">
        <v>221</v>
      </c>
      <c r="E93" t="s">
        <v>222</v>
      </c>
      <c r="F93" t="s">
        <v>40</v>
      </c>
      <c r="G93" t="s">
        <v>57</v>
      </c>
      <c r="H93" t="s">
        <v>58</v>
      </c>
      <c r="I93" t="s">
        <v>59</v>
      </c>
      <c r="J93" t="s">
        <v>51</v>
      </c>
      <c r="K93" t="s">
        <v>68</v>
      </c>
      <c r="L93" t="s">
        <v>69</v>
      </c>
      <c r="M93" s="4">
        <v>1369.2</v>
      </c>
      <c r="N93">
        <v>6</v>
      </c>
      <c r="O93" s="5">
        <v>0.1</v>
      </c>
      <c r="P93" s="4">
        <v>7393.66</v>
      </c>
      <c r="Q93" s="4">
        <v>486.53</v>
      </c>
    </row>
    <row r="94" spans="1:17">
      <c r="A94" t="s">
        <v>223</v>
      </c>
      <c r="B94" s="3">
        <v>45677</v>
      </c>
      <c r="C94" s="3">
        <v>45680</v>
      </c>
      <c r="D94" t="s">
        <v>71</v>
      </c>
      <c r="E94" t="s">
        <v>72</v>
      </c>
      <c r="F94" t="s">
        <v>66</v>
      </c>
      <c r="G94" t="s">
        <v>57</v>
      </c>
      <c r="H94" t="s">
        <v>58</v>
      </c>
      <c r="I94" t="s">
        <v>67</v>
      </c>
      <c r="J94" t="s">
        <v>51</v>
      </c>
      <c r="K94" t="s">
        <v>52</v>
      </c>
      <c r="L94" t="s">
        <v>53</v>
      </c>
      <c r="M94" s="4">
        <v>41.37</v>
      </c>
      <c r="N94">
        <v>8</v>
      </c>
      <c r="O94" s="5">
        <v>0</v>
      </c>
      <c r="P94" s="4">
        <v>331</v>
      </c>
      <c r="Q94" s="4">
        <v>89.97</v>
      </c>
    </row>
    <row r="95" spans="1:17">
      <c r="A95" t="s">
        <v>224</v>
      </c>
      <c r="B95" s="3">
        <v>45958</v>
      </c>
      <c r="C95" s="3">
        <v>45964</v>
      </c>
      <c r="D95" t="s">
        <v>98</v>
      </c>
      <c r="E95" t="s">
        <v>99</v>
      </c>
      <c r="F95" t="s">
        <v>40</v>
      </c>
      <c r="G95" t="s">
        <v>78</v>
      </c>
      <c r="H95" t="s">
        <v>79</v>
      </c>
      <c r="I95" t="s">
        <v>124</v>
      </c>
      <c r="J95" t="s">
        <v>60</v>
      </c>
      <c r="K95" t="s">
        <v>61</v>
      </c>
      <c r="L95" t="s">
        <v>96</v>
      </c>
      <c r="M95" s="4">
        <v>92.79</v>
      </c>
      <c r="N95">
        <v>3</v>
      </c>
      <c r="O95" s="5">
        <v>0.05</v>
      </c>
      <c r="P95" s="4">
        <v>264.45</v>
      </c>
      <c r="Q95" s="4">
        <v>68.34</v>
      </c>
    </row>
    <row r="96" spans="1:17">
      <c r="A96" t="s">
        <v>225</v>
      </c>
      <c r="B96" s="3">
        <v>45885</v>
      </c>
      <c r="C96" s="3">
        <v>45887</v>
      </c>
      <c r="D96" t="s">
        <v>83</v>
      </c>
      <c r="E96" t="s">
        <v>84</v>
      </c>
      <c r="F96" t="s">
        <v>40</v>
      </c>
      <c r="G96" t="s">
        <v>57</v>
      </c>
      <c r="H96" t="s">
        <v>58</v>
      </c>
      <c r="I96" t="s">
        <v>59</v>
      </c>
      <c r="J96" t="s">
        <v>44</v>
      </c>
      <c r="K96" t="s">
        <v>45</v>
      </c>
      <c r="L96" t="s">
        <v>46</v>
      </c>
      <c r="M96" s="4">
        <v>8.77</v>
      </c>
      <c r="N96">
        <v>6</v>
      </c>
      <c r="O96" s="5">
        <v>0</v>
      </c>
      <c r="P96" s="4">
        <v>52.62</v>
      </c>
      <c r="Q96" s="4">
        <v>7.46</v>
      </c>
    </row>
    <row r="97" spans="1:17">
      <c r="A97" t="s">
        <v>226</v>
      </c>
      <c r="B97" s="3">
        <v>45890</v>
      </c>
      <c r="C97" s="3">
        <v>45891</v>
      </c>
      <c r="D97" t="s">
        <v>108</v>
      </c>
      <c r="E97" t="s">
        <v>109</v>
      </c>
      <c r="F97" t="s">
        <v>66</v>
      </c>
      <c r="G97" t="s">
        <v>57</v>
      </c>
      <c r="H97" t="s">
        <v>58</v>
      </c>
      <c r="I97" t="s">
        <v>59</v>
      </c>
      <c r="J97" t="s">
        <v>44</v>
      </c>
      <c r="K97" t="s">
        <v>45</v>
      </c>
      <c r="L97" t="s">
        <v>46</v>
      </c>
      <c r="M97" s="4">
        <v>8.2200000000000006</v>
      </c>
      <c r="N97">
        <v>4</v>
      </c>
      <c r="O97" s="5">
        <v>0.15</v>
      </c>
      <c r="P97" s="4">
        <v>27.96</v>
      </c>
      <c r="Q97" s="4">
        <v>-1.49</v>
      </c>
    </row>
    <row r="98" spans="1:17">
      <c r="A98" t="s">
        <v>227</v>
      </c>
      <c r="B98" s="3">
        <v>45958</v>
      </c>
      <c r="C98" s="3">
        <v>45960</v>
      </c>
      <c r="D98" t="s">
        <v>163</v>
      </c>
      <c r="E98" t="s">
        <v>164</v>
      </c>
      <c r="F98" t="s">
        <v>50</v>
      </c>
      <c r="G98" t="s">
        <v>85</v>
      </c>
      <c r="H98" t="s">
        <v>86</v>
      </c>
      <c r="I98" t="s">
        <v>87</v>
      </c>
      <c r="J98" t="s">
        <v>51</v>
      </c>
      <c r="K98" t="s">
        <v>102</v>
      </c>
      <c r="L98" t="s">
        <v>103</v>
      </c>
      <c r="M98" s="4">
        <v>337.56</v>
      </c>
      <c r="N98">
        <v>4</v>
      </c>
      <c r="O98" s="5">
        <v>0</v>
      </c>
      <c r="P98" s="4">
        <v>1350.24</v>
      </c>
      <c r="Q98" s="4">
        <v>333.73</v>
      </c>
    </row>
    <row r="99" spans="1:17">
      <c r="A99" t="s">
        <v>228</v>
      </c>
      <c r="B99" s="3">
        <v>45714</v>
      </c>
      <c r="C99" s="3">
        <v>45720</v>
      </c>
      <c r="D99" t="s">
        <v>132</v>
      </c>
      <c r="E99" t="s">
        <v>133</v>
      </c>
      <c r="F99" t="s">
        <v>50</v>
      </c>
      <c r="G99" t="s">
        <v>57</v>
      </c>
      <c r="H99" t="s">
        <v>58</v>
      </c>
      <c r="I99" t="s">
        <v>59</v>
      </c>
      <c r="J99" t="s">
        <v>60</v>
      </c>
      <c r="K99" t="s">
        <v>128</v>
      </c>
      <c r="L99" t="s">
        <v>129</v>
      </c>
      <c r="M99" s="4">
        <v>252.83</v>
      </c>
      <c r="N99">
        <v>1</v>
      </c>
      <c r="O99" s="5">
        <v>0</v>
      </c>
      <c r="P99" s="4">
        <v>252.83</v>
      </c>
      <c r="Q99" s="4">
        <v>62.57</v>
      </c>
    </row>
    <row r="100" spans="1:17">
      <c r="A100" t="s">
        <v>229</v>
      </c>
      <c r="B100" s="3">
        <v>45873</v>
      </c>
      <c r="C100" s="3">
        <v>45878</v>
      </c>
      <c r="D100" t="s">
        <v>113</v>
      </c>
      <c r="E100" t="s">
        <v>114</v>
      </c>
      <c r="F100" t="s">
        <v>50</v>
      </c>
      <c r="G100" t="s">
        <v>57</v>
      </c>
      <c r="H100" t="s">
        <v>58</v>
      </c>
      <c r="I100" t="s">
        <v>59</v>
      </c>
      <c r="J100" t="s">
        <v>44</v>
      </c>
      <c r="K100" t="s">
        <v>110</v>
      </c>
      <c r="L100" t="s">
        <v>111</v>
      </c>
      <c r="M100" s="4">
        <v>10.95</v>
      </c>
      <c r="N100">
        <v>2</v>
      </c>
      <c r="O100" s="5">
        <v>0.15</v>
      </c>
      <c r="P100" s="4">
        <v>18.62</v>
      </c>
      <c r="Q100" s="4">
        <v>3.02</v>
      </c>
    </row>
    <row r="101" spans="1:17">
      <c r="A101" t="s">
        <v>230</v>
      </c>
      <c r="B101" s="3">
        <v>45995</v>
      </c>
      <c r="C101" s="3">
        <v>46000</v>
      </c>
      <c r="D101" t="s">
        <v>71</v>
      </c>
      <c r="E101" t="s">
        <v>72</v>
      </c>
      <c r="F101" t="s">
        <v>40</v>
      </c>
      <c r="G101" t="s">
        <v>41</v>
      </c>
      <c r="H101" t="s">
        <v>42</v>
      </c>
      <c r="I101" t="s">
        <v>119</v>
      </c>
      <c r="J101" t="s">
        <v>51</v>
      </c>
      <c r="K101" t="s">
        <v>102</v>
      </c>
      <c r="L101" t="s">
        <v>103</v>
      </c>
      <c r="M101" s="4">
        <v>329.17</v>
      </c>
      <c r="N101">
        <v>5</v>
      </c>
      <c r="O101" s="5">
        <v>0.05</v>
      </c>
      <c r="P101" s="4">
        <v>1563.58</v>
      </c>
      <c r="Q101" s="4">
        <v>90.36</v>
      </c>
    </row>
    <row r="102" spans="1:17">
      <c r="A102" t="s">
        <v>231</v>
      </c>
      <c r="B102" s="3">
        <v>45695</v>
      </c>
      <c r="C102" s="3">
        <v>45696</v>
      </c>
      <c r="D102" t="s">
        <v>83</v>
      </c>
      <c r="E102" t="s">
        <v>84</v>
      </c>
      <c r="F102" t="s">
        <v>40</v>
      </c>
      <c r="G102" t="s">
        <v>78</v>
      </c>
      <c r="H102" t="s">
        <v>79</v>
      </c>
      <c r="I102" t="s">
        <v>124</v>
      </c>
      <c r="J102" t="s">
        <v>51</v>
      </c>
      <c r="K102" t="s">
        <v>68</v>
      </c>
      <c r="L102" t="s">
        <v>69</v>
      </c>
      <c r="M102" s="4">
        <v>1348.02</v>
      </c>
      <c r="N102">
        <v>6</v>
      </c>
      <c r="O102" s="5">
        <v>0.1</v>
      </c>
      <c r="P102" s="4">
        <v>7279.29</v>
      </c>
      <c r="Q102" s="4">
        <v>593.61</v>
      </c>
    </row>
    <row r="103" spans="1:17">
      <c r="A103" t="s">
        <v>232</v>
      </c>
      <c r="B103" s="3">
        <v>45916</v>
      </c>
      <c r="C103" s="3">
        <v>45921</v>
      </c>
      <c r="D103" t="s">
        <v>83</v>
      </c>
      <c r="E103" t="s">
        <v>84</v>
      </c>
      <c r="F103" t="s">
        <v>40</v>
      </c>
      <c r="G103" t="s">
        <v>57</v>
      </c>
      <c r="H103" t="s">
        <v>58</v>
      </c>
      <c r="I103" t="s">
        <v>91</v>
      </c>
      <c r="J103" t="s">
        <v>60</v>
      </c>
      <c r="K103" t="s">
        <v>128</v>
      </c>
      <c r="L103" t="s">
        <v>129</v>
      </c>
      <c r="M103" s="4">
        <v>296.41000000000003</v>
      </c>
      <c r="N103">
        <v>7</v>
      </c>
      <c r="O103" s="5">
        <v>0</v>
      </c>
      <c r="P103" s="4">
        <v>2074.89</v>
      </c>
      <c r="Q103" s="4">
        <v>163.09</v>
      </c>
    </row>
    <row r="104" spans="1:17">
      <c r="A104" t="s">
        <v>233</v>
      </c>
      <c r="B104" s="3">
        <v>45890</v>
      </c>
      <c r="C104" s="3">
        <v>45894</v>
      </c>
      <c r="D104" t="s">
        <v>55</v>
      </c>
      <c r="E104" t="s">
        <v>56</v>
      </c>
      <c r="F104" t="s">
        <v>66</v>
      </c>
      <c r="G104" t="s">
        <v>85</v>
      </c>
      <c r="H104" t="s">
        <v>86</v>
      </c>
      <c r="I104" t="s">
        <v>160</v>
      </c>
      <c r="J104" t="s">
        <v>51</v>
      </c>
      <c r="K104" t="s">
        <v>68</v>
      </c>
      <c r="L104" t="s">
        <v>69</v>
      </c>
      <c r="M104" s="4">
        <v>1332.57</v>
      </c>
      <c r="N104">
        <v>7</v>
      </c>
      <c r="O104" s="5">
        <v>0.15</v>
      </c>
      <c r="P104" s="4">
        <v>7928.82</v>
      </c>
      <c r="Q104" s="4">
        <v>1242.3699999999999</v>
      </c>
    </row>
    <row r="105" spans="1:17">
      <c r="A105" t="s">
        <v>234</v>
      </c>
      <c r="B105" s="3">
        <v>45701</v>
      </c>
      <c r="C105" s="3">
        <v>45702</v>
      </c>
      <c r="D105" t="s">
        <v>137</v>
      </c>
      <c r="E105" t="s">
        <v>138</v>
      </c>
      <c r="F105" t="s">
        <v>40</v>
      </c>
      <c r="G105" t="s">
        <v>57</v>
      </c>
      <c r="H105" t="s">
        <v>58</v>
      </c>
      <c r="I105" t="s">
        <v>59</v>
      </c>
      <c r="J105" t="s">
        <v>44</v>
      </c>
      <c r="K105" t="s">
        <v>110</v>
      </c>
      <c r="L105" t="s">
        <v>111</v>
      </c>
      <c r="M105" s="4">
        <v>12.59</v>
      </c>
      <c r="N105">
        <v>7</v>
      </c>
      <c r="O105" s="5">
        <v>0</v>
      </c>
      <c r="P105" s="4">
        <v>88.11</v>
      </c>
      <c r="Q105" s="4">
        <v>12.61</v>
      </c>
    </row>
    <row r="106" spans="1:17">
      <c r="A106" t="s">
        <v>235</v>
      </c>
      <c r="B106" s="3">
        <v>45868</v>
      </c>
      <c r="C106" s="3">
        <v>45871</v>
      </c>
      <c r="D106" t="s">
        <v>108</v>
      </c>
      <c r="E106" t="s">
        <v>109</v>
      </c>
      <c r="F106" t="s">
        <v>40</v>
      </c>
      <c r="G106" t="s">
        <v>41</v>
      </c>
      <c r="H106" t="s">
        <v>42</v>
      </c>
      <c r="I106" t="s">
        <v>101</v>
      </c>
      <c r="J106" t="s">
        <v>60</v>
      </c>
      <c r="K106" t="s">
        <v>128</v>
      </c>
      <c r="L106" t="s">
        <v>129</v>
      </c>
      <c r="M106" s="4">
        <v>303.29000000000002</v>
      </c>
      <c r="N106">
        <v>7</v>
      </c>
      <c r="O106" s="5">
        <v>0.2</v>
      </c>
      <c r="P106" s="4">
        <v>1698.41</v>
      </c>
      <c r="Q106" s="4">
        <v>106.76</v>
      </c>
    </row>
    <row r="107" spans="1:17">
      <c r="A107" t="s">
        <v>236</v>
      </c>
      <c r="B107" s="3">
        <v>45737</v>
      </c>
      <c r="C107" s="3">
        <v>45743</v>
      </c>
      <c r="D107" t="s">
        <v>163</v>
      </c>
      <c r="E107" t="s">
        <v>164</v>
      </c>
      <c r="F107" t="s">
        <v>50</v>
      </c>
      <c r="G107" t="s">
        <v>57</v>
      </c>
      <c r="H107" t="s">
        <v>58</v>
      </c>
      <c r="I107" t="s">
        <v>91</v>
      </c>
      <c r="J107" t="s">
        <v>60</v>
      </c>
      <c r="K107" t="s">
        <v>61</v>
      </c>
      <c r="L107" t="s">
        <v>96</v>
      </c>
      <c r="M107" s="4">
        <v>96.25</v>
      </c>
      <c r="N107">
        <v>8</v>
      </c>
      <c r="O107" s="5">
        <v>0</v>
      </c>
      <c r="P107" s="4">
        <v>770.01</v>
      </c>
      <c r="Q107" s="4">
        <v>105.9</v>
      </c>
    </row>
    <row r="108" spans="1:17">
      <c r="A108" t="s">
        <v>237</v>
      </c>
      <c r="B108" s="3">
        <v>45976</v>
      </c>
      <c r="C108" s="3">
        <v>45981</v>
      </c>
      <c r="D108" t="s">
        <v>64</v>
      </c>
      <c r="E108" t="s">
        <v>65</v>
      </c>
      <c r="F108" t="s">
        <v>40</v>
      </c>
      <c r="G108" t="s">
        <v>41</v>
      </c>
      <c r="H108" t="s">
        <v>42</v>
      </c>
      <c r="I108" t="s">
        <v>119</v>
      </c>
      <c r="J108" t="s">
        <v>51</v>
      </c>
      <c r="K108" t="s">
        <v>68</v>
      </c>
      <c r="L108" t="s">
        <v>69</v>
      </c>
      <c r="M108" s="4">
        <v>1574.43</v>
      </c>
      <c r="N108">
        <v>1</v>
      </c>
      <c r="O108" s="5">
        <v>0.1</v>
      </c>
      <c r="P108" s="4">
        <v>1416.99</v>
      </c>
      <c r="Q108" s="4">
        <v>364.68</v>
      </c>
    </row>
    <row r="109" spans="1:17">
      <c r="A109" t="s">
        <v>238</v>
      </c>
      <c r="B109" s="3">
        <v>45661</v>
      </c>
      <c r="C109" s="3">
        <v>45663</v>
      </c>
      <c r="D109" t="s">
        <v>76</v>
      </c>
      <c r="E109" t="s">
        <v>77</v>
      </c>
      <c r="F109" t="s">
        <v>40</v>
      </c>
      <c r="G109" t="s">
        <v>85</v>
      </c>
      <c r="H109" t="s">
        <v>86</v>
      </c>
      <c r="I109" t="s">
        <v>160</v>
      </c>
      <c r="J109" t="s">
        <v>44</v>
      </c>
      <c r="K109" t="s">
        <v>165</v>
      </c>
      <c r="L109" t="s">
        <v>166</v>
      </c>
      <c r="M109" s="4">
        <v>15.47</v>
      </c>
      <c r="N109">
        <v>3</v>
      </c>
      <c r="O109" s="5">
        <v>0.1</v>
      </c>
      <c r="P109" s="4">
        <v>41.77</v>
      </c>
      <c r="Q109" s="4">
        <v>2.82</v>
      </c>
    </row>
    <row r="110" spans="1:17">
      <c r="A110" t="s">
        <v>239</v>
      </c>
      <c r="B110" s="3">
        <v>45872</v>
      </c>
      <c r="C110" s="3">
        <v>45876</v>
      </c>
      <c r="D110" t="s">
        <v>154</v>
      </c>
      <c r="E110" t="s">
        <v>155</v>
      </c>
      <c r="F110" t="s">
        <v>40</v>
      </c>
      <c r="G110" t="s">
        <v>41</v>
      </c>
      <c r="H110" t="s">
        <v>42</v>
      </c>
      <c r="I110" t="s">
        <v>43</v>
      </c>
      <c r="J110" t="s">
        <v>60</v>
      </c>
      <c r="K110" t="s">
        <v>116</v>
      </c>
      <c r="L110" t="s">
        <v>117</v>
      </c>
      <c r="M110" s="4">
        <v>506.49</v>
      </c>
      <c r="N110">
        <v>6</v>
      </c>
      <c r="O110" s="5">
        <v>0</v>
      </c>
      <c r="P110" s="4">
        <v>3038.91</v>
      </c>
      <c r="Q110" s="4">
        <v>700.16</v>
      </c>
    </row>
    <row r="111" spans="1:17">
      <c r="A111" t="s">
        <v>240</v>
      </c>
      <c r="B111" s="3">
        <v>46003</v>
      </c>
      <c r="C111" s="3">
        <v>46004</v>
      </c>
      <c r="D111" t="s">
        <v>71</v>
      </c>
      <c r="E111" t="s">
        <v>72</v>
      </c>
      <c r="F111" t="s">
        <v>50</v>
      </c>
      <c r="G111" t="s">
        <v>41</v>
      </c>
      <c r="H111" t="s">
        <v>42</v>
      </c>
      <c r="I111" t="s">
        <v>43</v>
      </c>
      <c r="J111" t="s">
        <v>51</v>
      </c>
      <c r="K111" t="s">
        <v>102</v>
      </c>
      <c r="L111" t="s">
        <v>103</v>
      </c>
      <c r="M111" s="4">
        <v>330.36</v>
      </c>
      <c r="N111">
        <v>5</v>
      </c>
      <c r="O111" s="5">
        <v>0.05</v>
      </c>
      <c r="P111" s="4">
        <v>1569.23</v>
      </c>
      <c r="Q111" s="4">
        <v>268.99</v>
      </c>
    </row>
    <row r="112" spans="1:17">
      <c r="A112" t="s">
        <v>241</v>
      </c>
      <c r="B112" s="3">
        <v>45714</v>
      </c>
      <c r="C112" s="3">
        <v>45717</v>
      </c>
      <c r="D112" t="s">
        <v>98</v>
      </c>
      <c r="E112" t="s">
        <v>99</v>
      </c>
      <c r="F112" t="s">
        <v>40</v>
      </c>
      <c r="G112" t="s">
        <v>57</v>
      </c>
      <c r="H112" t="s">
        <v>58</v>
      </c>
      <c r="I112" t="s">
        <v>59</v>
      </c>
      <c r="J112" t="s">
        <v>51</v>
      </c>
      <c r="K112" t="s">
        <v>52</v>
      </c>
      <c r="L112" t="s">
        <v>81</v>
      </c>
      <c r="M112" s="4">
        <v>72.34</v>
      </c>
      <c r="N112">
        <v>8</v>
      </c>
      <c r="O112" s="5">
        <v>0.1</v>
      </c>
      <c r="P112" s="4">
        <v>520.85</v>
      </c>
      <c r="Q112" s="4">
        <v>31.96</v>
      </c>
    </row>
    <row r="113" spans="1:17">
      <c r="A113" t="s">
        <v>242</v>
      </c>
      <c r="B113" s="3">
        <v>45788</v>
      </c>
      <c r="C113" s="3">
        <v>45791</v>
      </c>
      <c r="D113" t="s">
        <v>113</v>
      </c>
      <c r="E113" t="s">
        <v>114</v>
      </c>
      <c r="F113" t="s">
        <v>50</v>
      </c>
      <c r="G113" t="s">
        <v>41</v>
      </c>
      <c r="H113" t="s">
        <v>42</v>
      </c>
      <c r="I113" t="s">
        <v>43</v>
      </c>
      <c r="J113" t="s">
        <v>44</v>
      </c>
      <c r="K113" t="s">
        <v>45</v>
      </c>
      <c r="L113" t="s">
        <v>46</v>
      </c>
      <c r="M113" s="4">
        <v>7.21</v>
      </c>
      <c r="N113">
        <v>6</v>
      </c>
      <c r="O113" s="5">
        <v>0</v>
      </c>
      <c r="P113" s="4">
        <v>43.27</v>
      </c>
      <c r="Q113" s="4">
        <v>10.24</v>
      </c>
    </row>
    <row r="114" spans="1:17">
      <c r="A114" t="s">
        <v>243</v>
      </c>
      <c r="B114" s="3">
        <v>46000</v>
      </c>
      <c r="C114" s="3">
        <v>46007</v>
      </c>
      <c r="D114" t="s">
        <v>64</v>
      </c>
      <c r="E114" t="s">
        <v>65</v>
      </c>
      <c r="F114" t="s">
        <v>40</v>
      </c>
      <c r="G114" t="s">
        <v>78</v>
      </c>
      <c r="H114" t="s">
        <v>79</v>
      </c>
      <c r="I114" t="s">
        <v>80</v>
      </c>
      <c r="J114" t="s">
        <v>51</v>
      </c>
      <c r="K114" t="s">
        <v>102</v>
      </c>
      <c r="L114" t="s">
        <v>103</v>
      </c>
      <c r="M114" s="4">
        <v>313.41000000000003</v>
      </c>
      <c r="N114">
        <v>6</v>
      </c>
      <c r="O114" s="5">
        <v>0</v>
      </c>
      <c r="P114" s="4">
        <v>1880.48</v>
      </c>
      <c r="Q114" s="4">
        <v>442.87</v>
      </c>
    </row>
    <row r="115" spans="1:17">
      <c r="A115" t="s">
        <v>244</v>
      </c>
      <c r="B115" s="3">
        <v>45865</v>
      </c>
      <c r="C115" s="3">
        <v>45871</v>
      </c>
      <c r="D115" t="s">
        <v>89</v>
      </c>
      <c r="E115" t="s">
        <v>90</v>
      </c>
      <c r="F115" t="s">
        <v>66</v>
      </c>
      <c r="G115" t="s">
        <v>78</v>
      </c>
      <c r="H115" t="s">
        <v>79</v>
      </c>
      <c r="I115" t="s">
        <v>135</v>
      </c>
      <c r="J115" t="s">
        <v>60</v>
      </c>
      <c r="K115" t="s">
        <v>61</v>
      </c>
      <c r="L115" t="s">
        <v>62</v>
      </c>
      <c r="M115" s="4">
        <v>60</v>
      </c>
      <c r="N115">
        <v>7</v>
      </c>
      <c r="O115" s="5">
        <v>0</v>
      </c>
      <c r="P115" s="4">
        <v>419.98</v>
      </c>
      <c r="Q115" s="4">
        <v>23.19</v>
      </c>
    </row>
    <row r="116" spans="1:17">
      <c r="A116" t="s">
        <v>245</v>
      </c>
      <c r="B116" s="3">
        <v>45782</v>
      </c>
      <c r="C116" s="3">
        <v>45786</v>
      </c>
      <c r="D116" t="s">
        <v>108</v>
      </c>
      <c r="E116" t="s">
        <v>109</v>
      </c>
      <c r="F116" t="s">
        <v>66</v>
      </c>
      <c r="G116" t="s">
        <v>78</v>
      </c>
      <c r="H116" t="s">
        <v>79</v>
      </c>
      <c r="I116" t="s">
        <v>80</v>
      </c>
      <c r="J116" t="s">
        <v>51</v>
      </c>
      <c r="K116" t="s">
        <v>68</v>
      </c>
      <c r="L116" t="s">
        <v>69</v>
      </c>
      <c r="M116" s="4">
        <v>1327.81</v>
      </c>
      <c r="N116">
        <v>7</v>
      </c>
      <c r="O116" s="5">
        <v>0.1</v>
      </c>
      <c r="P116" s="4">
        <v>8365.19</v>
      </c>
      <c r="Q116" s="4">
        <v>2238.79</v>
      </c>
    </row>
    <row r="117" spans="1:17">
      <c r="A117" t="s">
        <v>246</v>
      </c>
      <c r="B117" s="3">
        <v>45929</v>
      </c>
      <c r="C117" s="3">
        <v>45934</v>
      </c>
      <c r="D117" t="s">
        <v>108</v>
      </c>
      <c r="E117" t="s">
        <v>109</v>
      </c>
      <c r="F117" t="s">
        <v>50</v>
      </c>
      <c r="G117" t="s">
        <v>85</v>
      </c>
      <c r="H117" t="s">
        <v>86</v>
      </c>
      <c r="I117" t="s">
        <v>160</v>
      </c>
      <c r="J117" t="s">
        <v>51</v>
      </c>
      <c r="K117" t="s">
        <v>102</v>
      </c>
      <c r="L117" t="s">
        <v>103</v>
      </c>
      <c r="M117" s="4">
        <v>310.36</v>
      </c>
      <c r="N117">
        <v>4</v>
      </c>
      <c r="O117" s="5">
        <v>0.2</v>
      </c>
      <c r="P117" s="4">
        <v>993.15</v>
      </c>
      <c r="Q117" s="4">
        <v>230.26</v>
      </c>
    </row>
    <row r="118" spans="1:17">
      <c r="A118" t="s">
        <v>247</v>
      </c>
      <c r="B118" s="3">
        <v>45746</v>
      </c>
      <c r="C118" s="3">
        <v>45751</v>
      </c>
      <c r="D118" t="s">
        <v>163</v>
      </c>
      <c r="E118" t="s">
        <v>164</v>
      </c>
      <c r="F118" t="s">
        <v>50</v>
      </c>
      <c r="G118" t="s">
        <v>85</v>
      </c>
      <c r="H118" t="s">
        <v>86</v>
      </c>
      <c r="I118" t="s">
        <v>95</v>
      </c>
      <c r="J118" t="s">
        <v>51</v>
      </c>
      <c r="K118" t="s">
        <v>52</v>
      </c>
      <c r="L118" t="s">
        <v>81</v>
      </c>
      <c r="M118" s="4">
        <v>73.63</v>
      </c>
      <c r="N118">
        <v>3</v>
      </c>
      <c r="O118" s="5">
        <v>0.2</v>
      </c>
      <c r="P118" s="4">
        <v>176.71</v>
      </c>
      <c r="Q118" s="4">
        <v>12.16</v>
      </c>
    </row>
    <row r="119" spans="1:17">
      <c r="A119" t="s">
        <v>248</v>
      </c>
      <c r="B119" s="3">
        <v>45987</v>
      </c>
      <c r="C119" s="3">
        <v>45993</v>
      </c>
      <c r="D119" t="s">
        <v>89</v>
      </c>
      <c r="E119" t="s">
        <v>90</v>
      </c>
      <c r="F119" t="s">
        <v>40</v>
      </c>
      <c r="G119" t="s">
        <v>78</v>
      </c>
      <c r="H119" t="s">
        <v>79</v>
      </c>
      <c r="I119" t="s">
        <v>124</v>
      </c>
      <c r="J119" t="s">
        <v>60</v>
      </c>
      <c r="K119" t="s">
        <v>61</v>
      </c>
      <c r="L119" t="s">
        <v>62</v>
      </c>
      <c r="M119" s="4">
        <v>71.12</v>
      </c>
      <c r="N119">
        <v>6</v>
      </c>
      <c r="O119" s="5">
        <v>0.2</v>
      </c>
      <c r="P119" s="4">
        <v>341.39</v>
      </c>
      <c r="Q119" s="4">
        <v>44.05</v>
      </c>
    </row>
    <row r="120" spans="1:17">
      <c r="A120" t="s">
        <v>249</v>
      </c>
      <c r="B120" s="3">
        <v>45686</v>
      </c>
      <c r="C120" s="3">
        <v>45689</v>
      </c>
      <c r="D120" t="s">
        <v>89</v>
      </c>
      <c r="E120" t="s">
        <v>90</v>
      </c>
      <c r="F120" t="s">
        <v>40</v>
      </c>
      <c r="G120" t="s">
        <v>78</v>
      </c>
      <c r="H120" t="s">
        <v>79</v>
      </c>
      <c r="I120" t="s">
        <v>124</v>
      </c>
      <c r="J120" t="s">
        <v>44</v>
      </c>
      <c r="K120" t="s">
        <v>165</v>
      </c>
      <c r="L120" t="s">
        <v>166</v>
      </c>
      <c r="M120" s="4">
        <v>14.89</v>
      </c>
      <c r="N120">
        <v>2</v>
      </c>
      <c r="O120" s="5">
        <v>0</v>
      </c>
      <c r="P120" s="4">
        <v>29.77</v>
      </c>
      <c r="Q120" s="4">
        <v>1.77</v>
      </c>
    </row>
    <row r="121" spans="1:17">
      <c r="A121" t="s">
        <v>250</v>
      </c>
      <c r="B121" s="3">
        <v>45917</v>
      </c>
      <c r="C121" s="3">
        <v>45921</v>
      </c>
      <c r="D121" t="s">
        <v>158</v>
      </c>
      <c r="E121" t="s">
        <v>159</v>
      </c>
      <c r="F121" t="s">
        <v>40</v>
      </c>
      <c r="G121" t="s">
        <v>57</v>
      </c>
      <c r="H121" t="s">
        <v>58</v>
      </c>
      <c r="I121" t="s">
        <v>59</v>
      </c>
      <c r="J121" t="s">
        <v>51</v>
      </c>
      <c r="K121" t="s">
        <v>102</v>
      </c>
      <c r="L121" t="s">
        <v>103</v>
      </c>
      <c r="M121" s="4">
        <v>323.48</v>
      </c>
      <c r="N121">
        <v>8</v>
      </c>
      <c r="O121" s="5">
        <v>0.1</v>
      </c>
      <c r="P121" s="4">
        <v>2329.0300000000002</v>
      </c>
      <c r="Q121" s="4">
        <v>577.49</v>
      </c>
    </row>
    <row r="122" spans="1:17">
      <c r="A122" t="s">
        <v>251</v>
      </c>
      <c r="B122" s="3">
        <v>45901</v>
      </c>
      <c r="C122" s="3">
        <v>45906</v>
      </c>
      <c r="D122" t="s">
        <v>158</v>
      </c>
      <c r="E122" t="s">
        <v>159</v>
      </c>
      <c r="F122" t="s">
        <v>40</v>
      </c>
      <c r="G122" t="s">
        <v>78</v>
      </c>
      <c r="H122" t="s">
        <v>79</v>
      </c>
      <c r="I122" t="s">
        <v>80</v>
      </c>
      <c r="J122" t="s">
        <v>51</v>
      </c>
      <c r="K122" t="s">
        <v>52</v>
      </c>
      <c r="L122" t="s">
        <v>81</v>
      </c>
      <c r="M122" s="4">
        <v>69.31</v>
      </c>
      <c r="N122">
        <v>3</v>
      </c>
      <c r="O122" s="5">
        <v>0</v>
      </c>
      <c r="P122" s="4">
        <v>207.92</v>
      </c>
      <c r="Q122" s="4">
        <v>52.55</v>
      </c>
    </row>
    <row r="123" spans="1:17">
      <c r="A123" t="s">
        <v>252</v>
      </c>
      <c r="B123" s="3">
        <v>46020</v>
      </c>
      <c r="C123" s="3">
        <v>46024</v>
      </c>
      <c r="D123" t="s">
        <v>38</v>
      </c>
      <c r="E123" t="s">
        <v>39</v>
      </c>
      <c r="F123" t="s">
        <v>40</v>
      </c>
      <c r="G123" t="s">
        <v>41</v>
      </c>
      <c r="H123" t="s">
        <v>42</v>
      </c>
      <c r="I123" t="s">
        <v>101</v>
      </c>
      <c r="J123" t="s">
        <v>51</v>
      </c>
      <c r="K123" t="s">
        <v>125</v>
      </c>
      <c r="L123" t="s">
        <v>126</v>
      </c>
      <c r="M123" s="4">
        <v>853.87</v>
      </c>
      <c r="N123">
        <v>8</v>
      </c>
      <c r="O123" s="5">
        <v>0.1</v>
      </c>
      <c r="P123" s="4">
        <v>6147.84</v>
      </c>
      <c r="Q123" s="4">
        <v>551.38</v>
      </c>
    </row>
    <row r="124" spans="1:17">
      <c r="A124" t="s">
        <v>253</v>
      </c>
      <c r="B124" s="3">
        <v>45981</v>
      </c>
      <c r="C124" s="3">
        <v>45987</v>
      </c>
      <c r="D124" t="s">
        <v>71</v>
      </c>
      <c r="E124" t="s">
        <v>72</v>
      </c>
      <c r="F124" t="s">
        <v>66</v>
      </c>
      <c r="G124" t="s">
        <v>57</v>
      </c>
      <c r="H124" t="s">
        <v>58</v>
      </c>
      <c r="I124" t="s">
        <v>91</v>
      </c>
      <c r="J124" t="s">
        <v>44</v>
      </c>
      <c r="K124" t="s">
        <v>140</v>
      </c>
      <c r="L124" t="s">
        <v>141</v>
      </c>
      <c r="M124" s="4">
        <v>24.15</v>
      </c>
      <c r="N124">
        <v>6</v>
      </c>
      <c r="O124" s="5">
        <v>0</v>
      </c>
      <c r="P124" s="4">
        <v>144.88999999999999</v>
      </c>
      <c r="Q124" s="4">
        <v>27.46</v>
      </c>
    </row>
    <row r="125" spans="1:17">
      <c r="A125" t="s">
        <v>254</v>
      </c>
      <c r="B125" s="3">
        <v>45699</v>
      </c>
      <c r="C125" s="3">
        <v>45704</v>
      </c>
      <c r="D125" t="s">
        <v>55</v>
      </c>
      <c r="E125" t="s">
        <v>56</v>
      </c>
      <c r="F125" t="s">
        <v>40</v>
      </c>
      <c r="G125" t="s">
        <v>57</v>
      </c>
      <c r="H125" t="s">
        <v>58</v>
      </c>
      <c r="I125" t="s">
        <v>67</v>
      </c>
      <c r="J125" t="s">
        <v>60</v>
      </c>
      <c r="K125" t="s">
        <v>116</v>
      </c>
      <c r="L125" t="s">
        <v>117</v>
      </c>
      <c r="M125" s="4">
        <v>500.26</v>
      </c>
      <c r="N125">
        <v>3</v>
      </c>
      <c r="O125" s="5">
        <v>0</v>
      </c>
      <c r="P125" s="4">
        <v>1500.79</v>
      </c>
      <c r="Q125" s="4">
        <v>321.19</v>
      </c>
    </row>
    <row r="126" spans="1:17">
      <c r="A126" t="s">
        <v>255</v>
      </c>
      <c r="B126" s="3">
        <v>45850</v>
      </c>
      <c r="C126" s="3">
        <v>45856</v>
      </c>
      <c r="D126" t="s">
        <v>64</v>
      </c>
      <c r="E126" t="s">
        <v>65</v>
      </c>
      <c r="F126" t="s">
        <v>40</v>
      </c>
      <c r="G126" t="s">
        <v>85</v>
      </c>
      <c r="H126" t="s">
        <v>86</v>
      </c>
      <c r="I126" t="s">
        <v>87</v>
      </c>
      <c r="J126" t="s">
        <v>51</v>
      </c>
      <c r="K126" t="s">
        <v>52</v>
      </c>
      <c r="L126" t="s">
        <v>81</v>
      </c>
      <c r="M126" s="4">
        <v>64.790000000000006</v>
      </c>
      <c r="N126">
        <v>6</v>
      </c>
      <c r="O126" s="5">
        <v>0.2</v>
      </c>
      <c r="P126" s="4">
        <v>310.99</v>
      </c>
      <c r="Q126" s="4">
        <v>70.19</v>
      </c>
    </row>
    <row r="127" spans="1:17">
      <c r="A127" t="s">
        <v>256</v>
      </c>
      <c r="B127" s="3">
        <v>45667</v>
      </c>
      <c r="C127" s="3">
        <v>45670</v>
      </c>
      <c r="D127" t="s">
        <v>76</v>
      </c>
      <c r="E127" t="s">
        <v>77</v>
      </c>
      <c r="F127" t="s">
        <v>40</v>
      </c>
      <c r="G127" t="s">
        <v>41</v>
      </c>
      <c r="H127" t="s">
        <v>42</v>
      </c>
      <c r="I127" t="s">
        <v>101</v>
      </c>
      <c r="J127" t="s">
        <v>44</v>
      </c>
      <c r="K127" t="s">
        <v>140</v>
      </c>
      <c r="L127" t="s">
        <v>141</v>
      </c>
      <c r="M127" s="4">
        <v>27.26</v>
      </c>
      <c r="N127">
        <v>5</v>
      </c>
      <c r="O127" s="5">
        <v>0</v>
      </c>
      <c r="P127" s="4">
        <v>136.28</v>
      </c>
      <c r="Q127" s="4">
        <v>18.46</v>
      </c>
    </row>
    <row r="128" spans="1:17">
      <c r="A128" t="s">
        <v>257</v>
      </c>
      <c r="B128" s="3">
        <v>45709</v>
      </c>
      <c r="C128" s="3">
        <v>45714</v>
      </c>
      <c r="D128" t="s">
        <v>105</v>
      </c>
      <c r="E128" t="s">
        <v>106</v>
      </c>
      <c r="F128" t="s">
        <v>50</v>
      </c>
      <c r="G128" t="s">
        <v>85</v>
      </c>
      <c r="H128" t="s">
        <v>86</v>
      </c>
      <c r="I128" t="s">
        <v>95</v>
      </c>
      <c r="J128" t="s">
        <v>51</v>
      </c>
      <c r="K128" t="s">
        <v>125</v>
      </c>
      <c r="L128" t="s">
        <v>126</v>
      </c>
      <c r="M128" s="4">
        <v>822.25</v>
      </c>
      <c r="N128">
        <v>1</v>
      </c>
      <c r="O128" s="5">
        <v>0.15</v>
      </c>
      <c r="P128" s="4">
        <v>698.91</v>
      </c>
      <c r="Q128" s="4">
        <v>168.84</v>
      </c>
    </row>
    <row r="129" spans="1:17">
      <c r="A129" t="s">
        <v>258</v>
      </c>
      <c r="B129" s="3">
        <v>45882</v>
      </c>
      <c r="C129" s="3">
        <v>45883</v>
      </c>
      <c r="D129" t="s">
        <v>132</v>
      </c>
      <c r="E129" t="s">
        <v>133</v>
      </c>
      <c r="F129" t="s">
        <v>50</v>
      </c>
      <c r="G129" t="s">
        <v>78</v>
      </c>
      <c r="H129" t="s">
        <v>79</v>
      </c>
      <c r="I129" t="s">
        <v>135</v>
      </c>
      <c r="J129" t="s">
        <v>51</v>
      </c>
      <c r="K129" t="s">
        <v>102</v>
      </c>
      <c r="L129" t="s">
        <v>103</v>
      </c>
      <c r="M129" s="4">
        <v>331.29</v>
      </c>
      <c r="N129">
        <v>7</v>
      </c>
      <c r="O129" s="5">
        <v>0</v>
      </c>
      <c r="P129" s="4">
        <v>2319.0100000000002</v>
      </c>
      <c r="Q129" s="4">
        <v>253.66</v>
      </c>
    </row>
    <row r="130" spans="1:17">
      <c r="A130" t="s">
        <v>259</v>
      </c>
      <c r="B130" s="3">
        <v>45816</v>
      </c>
      <c r="C130" s="3">
        <v>45823</v>
      </c>
      <c r="D130" t="s">
        <v>38</v>
      </c>
      <c r="E130" t="s">
        <v>39</v>
      </c>
      <c r="F130" t="s">
        <v>66</v>
      </c>
      <c r="G130" t="s">
        <v>57</v>
      </c>
      <c r="H130" t="s">
        <v>58</v>
      </c>
      <c r="I130" t="s">
        <v>67</v>
      </c>
      <c r="J130" t="s">
        <v>51</v>
      </c>
      <c r="K130" t="s">
        <v>102</v>
      </c>
      <c r="L130" t="s">
        <v>103</v>
      </c>
      <c r="M130" s="4">
        <v>300.42</v>
      </c>
      <c r="N130">
        <v>8</v>
      </c>
      <c r="O130" s="5">
        <v>0.2</v>
      </c>
      <c r="P130" s="4">
        <v>1922.67</v>
      </c>
      <c r="Q130" s="4">
        <v>422.17</v>
      </c>
    </row>
    <row r="131" spans="1:17">
      <c r="A131" t="s">
        <v>260</v>
      </c>
      <c r="B131" s="3">
        <v>45872</v>
      </c>
      <c r="C131" s="3">
        <v>45874</v>
      </c>
      <c r="D131" t="s">
        <v>48</v>
      </c>
      <c r="E131" t="s">
        <v>49</v>
      </c>
      <c r="F131" t="s">
        <v>66</v>
      </c>
      <c r="G131" t="s">
        <v>78</v>
      </c>
      <c r="H131" t="s">
        <v>79</v>
      </c>
      <c r="I131" t="s">
        <v>124</v>
      </c>
      <c r="J131" t="s">
        <v>44</v>
      </c>
      <c r="K131" t="s">
        <v>140</v>
      </c>
      <c r="L131" t="s">
        <v>141</v>
      </c>
      <c r="M131" s="4">
        <v>25.52</v>
      </c>
      <c r="N131">
        <v>4</v>
      </c>
      <c r="O131" s="5">
        <v>0.2</v>
      </c>
      <c r="P131" s="4">
        <v>81.67</v>
      </c>
      <c r="Q131" s="4">
        <v>-5.56</v>
      </c>
    </row>
    <row r="132" spans="1:17">
      <c r="A132" t="s">
        <v>261</v>
      </c>
      <c r="B132" s="3">
        <v>45803</v>
      </c>
      <c r="C132" s="3">
        <v>45804</v>
      </c>
      <c r="D132" t="s">
        <v>108</v>
      </c>
      <c r="E132" t="s">
        <v>109</v>
      </c>
      <c r="F132" t="s">
        <v>50</v>
      </c>
      <c r="G132" t="s">
        <v>57</v>
      </c>
      <c r="H132" t="s">
        <v>58</v>
      </c>
      <c r="I132" t="s">
        <v>67</v>
      </c>
      <c r="J132" t="s">
        <v>60</v>
      </c>
      <c r="K132" t="s">
        <v>61</v>
      </c>
      <c r="L132" t="s">
        <v>96</v>
      </c>
      <c r="M132" s="4">
        <v>89.09</v>
      </c>
      <c r="N132">
        <v>3</v>
      </c>
      <c r="O132" s="5">
        <v>0</v>
      </c>
      <c r="P132" s="4">
        <v>267.26</v>
      </c>
      <c r="Q132" s="4">
        <v>47.66</v>
      </c>
    </row>
    <row r="133" spans="1:17">
      <c r="A133" t="s">
        <v>262</v>
      </c>
      <c r="B133" s="3">
        <v>45685</v>
      </c>
      <c r="C133" s="3">
        <v>45689</v>
      </c>
      <c r="D133" t="s">
        <v>98</v>
      </c>
      <c r="E133" t="s">
        <v>99</v>
      </c>
      <c r="F133" t="s">
        <v>66</v>
      </c>
      <c r="G133" t="s">
        <v>41</v>
      </c>
      <c r="H133" t="s">
        <v>42</v>
      </c>
      <c r="I133" t="s">
        <v>43</v>
      </c>
      <c r="J133" t="s">
        <v>44</v>
      </c>
      <c r="K133" t="s">
        <v>110</v>
      </c>
      <c r="L133" t="s">
        <v>111</v>
      </c>
      <c r="M133" s="4">
        <v>11.73</v>
      </c>
      <c r="N133">
        <v>6</v>
      </c>
      <c r="O133" s="5">
        <v>0</v>
      </c>
      <c r="P133" s="4">
        <v>70.36</v>
      </c>
      <c r="Q133" s="4">
        <v>4.95</v>
      </c>
    </row>
    <row r="134" spans="1:17">
      <c r="A134" t="s">
        <v>263</v>
      </c>
      <c r="B134" s="3">
        <v>45728</v>
      </c>
      <c r="C134" s="3">
        <v>45729</v>
      </c>
      <c r="D134" t="s">
        <v>113</v>
      </c>
      <c r="E134" t="s">
        <v>114</v>
      </c>
      <c r="F134" t="s">
        <v>40</v>
      </c>
      <c r="G134" t="s">
        <v>57</v>
      </c>
      <c r="H134" t="s">
        <v>58</v>
      </c>
      <c r="I134" t="s">
        <v>59</v>
      </c>
      <c r="J134" t="s">
        <v>60</v>
      </c>
      <c r="K134" t="s">
        <v>128</v>
      </c>
      <c r="L134" t="s">
        <v>129</v>
      </c>
      <c r="M134" s="4">
        <v>278.45999999999998</v>
      </c>
      <c r="N134">
        <v>5</v>
      </c>
      <c r="O134" s="5">
        <v>0.2</v>
      </c>
      <c r="P134" s="4">
        <v>1113.83</v>
      </c>
      <c r="Q134" s="4">
        <v>287.12</v>
      </c>
    </row>
    <row r="135" spans="1:17">
      <c r="A135" t="s">
        <v>264</v>
      </c>
      <c r="B135" s="3">
        <v>45789</v>
      </c>
      <c r="C135" s="3">
        <v>45791</v>
      </c>
      <c r="D135" t="s">
        <v>221</v>
      </c>
      <c r="E135" t="s">
        <v>222</v>
      </c>
      <c r="F135" t="s">
        <v>40</v>
      </c>
      <c r="G135" t="s">
        <v>78</v>
      </c>
      <c r="H135" t="s">
        <v>79</v>
      </c>
      <c r="I135" t="s">
        <v>124</v>
      </c>
      <c r="J135" t="s">
        <v>51</v>
      </c>
      <c r="K135" t="s">
        <v>125</v>
      </c>
      <c r="L135" t="s">
        <v>126</v>
      </c>
      <c r="M135" s="4">
        <v>924.84</v>
      </c>
      <c r="N135">
        <v>3</v>
      </c>
      <c r="O135" s="5">
        <v>0.1</v>
      </c>
      <c r="P135" s="4">
        <v>2497.06</v>
      </c>
      <c r="Q135" s="4">
        <v>504.96</v>
      </c>
    </row>
    <row r="136" spans="1:17">
      <c r="A136" t="s">
        <v>265</v>
      </c>
      <c r="B136" s="3">
        <v>45872</v>
      </c>
      <c r="C136" s="3">
        <v>45878</v>
      </c>
      <c r="D136" t="s">
        <v>38</v>
      </c>
      <c r="E136" t="s">
        <v>39</v>
      </c>
      <c r="F136" t="s">
        <v>66</v>
      </c>
      <c r="G136" t="s">
        <v>57</v>
      </c>
      <c r="H136" t="s">
        <v>58</v>
      </c>
      <c r="I136" t="s">
        <v>59</v>
      </c>
      <c r="J136" t="s">
        <v>51</v>
      </c>
      <c r="K136" t="s">
        <v>125</v>
      </c>
      <c r="L136" t="s">
        <v>126</v>
      </c>
      <c r="M136" s="4">
        <v>783.85</v>
      </c>
      <c r="N136">
        <v>8</v>
      </c>
      <c r="O136" s="5">
        <v>0</v>
      </c>
      <c r="P136" s="4">
        <v>6270.77</v>
      </c>
      <c r="Q136" s="4">
        <v>1732.53</v>
      </c>
    </row>
    <row r="137" spans="1:17">
      <c r="A137" t="s">
        <v>266</v>
      </c>
      <c r="B137" s="3">
        <v>45807</v>
      </c>
      <c r="C137" s="3">
        <v>45811</v>
      </c>
      <c r="D137" t="s">
        <v>113</v>
      </c>
      <c r="E137" t="s">
        <v>114</v>
      </c>
      <c r="F137" t="s">
        <v>40</v>
      </c>
      <c r="G137" t="s">
        <v>41</v>
      </c>
      <c r="H137" t="s">
        <v>42</v>
      </c>
      <c r="I137" t="s">
        <v>101</v>
      </c>
      <c r="J137" t="s">
        <v>60</v>
      </c>
      <c r="K137" t="s">
        <v>116</v>
      </c>
      <c r="L137" t="s">
        <v>117</v>
      </c>
      <c r="M137" s="4">
        <v>504.69</v>
      </c>
      <c r="N137">
        <v>1</v>
      </c>
      <c r="O137" s="5">
        <v>0.1</v>
      </c>
      <c r="P137" s="4">
        <v>454.22</v>
      </c>
      <c r="Q137" s="4">
        <v>87.51</v>
      </c>
    </row>
    <row r="138" spans="1:17">
      <c r="A138" t="s">
        <v>267</v>
      </c>
      <c r="B138" s="3">
        <v>45917</v>
      </c>
      <c r="C138" s="3">
        <v>45924</v>
      </c>
      <c r="D138" t="s">
        <v>64</v>
      </c>
      <c r="E138" t="s">
        <v>65</v>
      </c>
      <c r="F138" t="s">
        <v>66</v>
      </c>
      <c r="G138" t="s">
        <v>41</v>
      </c>
      <c r="H138" t="s">
        <v>42</v>
      </c>
      <c r="I138" t="s">
        <v>101</v>
      </c>
      <c r="J138" t="s">
        <v>51</v>
      </c>
      <c r="K138" t="s">
        <v>102</v>
      </c>
      <c r="L138" t="s">
        <v>103</v>
      </c>
      <c r="M138" s="4">
        <v>343.89</v>
      </c>
      <c r="N138">
        <v>1</v>
      </c>
      <c r="O138" s="5">
        <v>0.05</v>
      </c>
      <c r="P138" s="4">
        <v>326.7</v>
      </c>
      <c r="Q138" s="4">
        <v>19.89</v>
      </c>
    </row>
    <row r="139" spans="1:17">
      <c r="A139" t="s">
        <v>268</v>
      </c>
      <c r="B139" s="3">
        <v>45834</v>
      </c>
      <c r="C139" s="3">
        <v>45836</v>
      </c>
      <c r="D139" t="s">
        <v>137</v>
      </c>
      <c r="E139" t="s">
        <v>138</v>
      </c>
      <c r="F139" t="s">
        <v>40</v>
      </c>
      <c r="G139" t="s">
        <v>57</v>
      </c>
      <c r="H139" t="s">
        <v>58</v>
      </c>
      <c r="I139" t="s">
        <v>91</v>
      </c>
      <c r="J139" t="s">
        <v>51</v>
      </c>
      <c r="K139" t="s">
        <v>52</v>
      </c>
      <c r="L139" t="s">
        <v>81</v>
      </c>
      <c r="M139" s="4">
        <v>71.150000000000006</v>
      </c>
      <c r="N139">
        <v>2</v>
      </c>
      <c r="O139" s="5">
        <v>0.2</v>
      </c>
      <c r="P139" s="4">
        <v>113.83</v>
      </c>
      <c r="Q139" s="4">
        <v>27.22</v>
      </c>
    </row>
    <row r="140" spans="1:17">
      <c r="A140" t="s">
        <v>269</v>
      </c>
      <c r="B140" s="3">
        <v>46014</v>
      </c>
      <c r="C140" s="3">
        <v>46018</v>
      </c>
      <c r="D140" t="s">
        <v>83</v>
      </c>
      <c r="E140" t="s">
        <v>84</v>
      </c>
      <c r="F140" t="s">
        <v>66</v>
      </c>
      <c r="G140" t="s">
        <v>57</v>
      </c>
      <c r="H140" t="s">
        <v>58</v>
      </c>
      <c r="I140" t="s">
        <v>67</v>
      </c>
      <c r="J140" t="s">
        <v>60</v>
      </c>
      <c r="K140" t="s">
        <v>116</v>
      </c>
      <c r="L140" t="s">
        <v>117</v>
      </c>
      <c r="M140" s="4">
        <v>482.02</v>
      </c>
      <c r="N140">
        <v>3</v>
      </c>
      <c r="O140" s="5">
        <v>0.2</v>
      </c>
      <c r="P140" s="4">
        <v>1156.8599999999999</v>
      </c>
      <c r="Q140" s="4">
        <v>264.93</v>
      </c>
    </row>
    <row r="141" spans="1:17">
      <c r="A141" t="s">
        <v>270</v>
      </c>
      <c r="B141" s="3">
        <v>45819</v>
      </c>
      <c r="C141" s="3">
        <v>45822</v>
      </c>
      <c r="D141" t="s">
        <v>71</v>
      </c>
      <c r="E141" t="s">
        <v>72</v>
      </c>
      <c r="F141" t="s">
        <v>50</v>
      </c>
      <c r="G141" t="s">
        <v>41</v>
      </c>
      <c r="H141" t="s">
        <v>42</v>
      </c>
      <c r="I141" t="s">
        <v>119</v>
      </c>
      <c r="J141" t="s">
        <v>51</v>
      </c>
      <c r="K141" t="s">
        <v>52</v>
      </c>
      <c r="L141" t="s">
        <v>53</v>
      </c>
      <c r="M141" s="4">
        <v>45.39</v>
      </c>
      <c r="N141">
        <v>7</v>
      </c>
      <c r="O141" s="5">
        <v>0.2</v>
      </c>
      <c r="P141" s="4">
        <v>254.17</v>
      </c>
      <c r="Q141" s="4">
        <v>28.8</v>
      </c>
    </row>
    <row r="142" spans="1:17">
      <c r="A142" t="s">
        <v>271</v>
      </c>
      <c r="B142" s="3">
        <v>45721</v>
      </c>
      <c r="C142" s="3">
        <v>45728</v>
      </c>
      <c r="D142" t="s">
        <v>93</v>
      </c>
      <c r="E142" t="s">
        <v>94</v>
      </c>
      <c r="F142" t="s">
        <v>66</v>
      </c>
      <c r="G142" t="s">
        <v>85</v>
      </c>
      <c r="H142" t="s">
        <v>86</v>
      </c>
      <c r="I142" t="s">
        <v>160</v>
      </c>
      <c r="J142" t="s">
        <v>51</v>
      </c>
      <c r="K142" t="s">
        <v>52</v>
      </c>
      <c r="L142" t="s">
        <v>81</v>
      </c>
      <c r="M142" s="4">
        <v>75.45</v>
      </c>
      <c r="N142">
        <v>6</v>
      </c>
      <c r="O142" s="5">
        <v>0.05</v>
      </c>
      <c r="P142" s="4">
        <v>430.08</v>
      </c>
      <c r="Q142" s="4">
        <v>101.42</v>
      </c>
    </row>
    <row r="143" spans="1:17">
      <c r="A143" t="s">
        <v>272</v>
      </c>
      <c r="B143" s="3">
        <v>45923</v>
      </c>
      <c r="C143" s="3">
        <v>45926</v>
      </c>
      <c r="D143" t="s">
        <v>76</v>
      </c>
      <c r="E143" t="s">
        <v>77</v>
      </c>
      <c r="F143" t="s">
        <v>50</v>
      </c>
      <c r="G143" t="s">
        <v>78</v>
      </c>
      <c r="H143" t="s">
        <v>79</v>
      </c>
      <c r="I143" t="s">
        <v>124</v>
      </c>
      <c r="J143" t="s">
        <v>44</v>
      </c>
      <c r="K143" t="s">
        <v>143</v>
      </c>
      <c r="L143" t="s">
        <v>144</v>
      </c>
      <c r="M143" s="4">
        <v>17.73</v>
      </c>
      <c r="N143">
        <v>2</v>
      </c>
      <c r="O143" s="5">
        <v>0.15</v>
      </c>
      <c r="P143" s="4">
        <v>30.14</v>
      </c>
      <c r="Q143" s="4">
        <v>4.75</v>
      </c>
    </row>
    <row r="144" spans="1:17">
      <c r="A144" t="s">
        <v>273</v>
      </c>
      <c r="B144" s="3">
        <v>45825</v>
      </c>
      <c r="C144" s="3">
        <v>45831</v>
      </c>
      <c r="D144" t="s">
        <v>137</v>
      </c>
      <c r="E144" t="s">
        <v>138</v>
      </c>
      <c r="F144" t="s">
        <v>66</v>
      </c>
      <c r="G144" t="s">
        <v>85</v>
      </c>
      <c r="H144" t="s">
        <v>86</v>
      </c>
      <c r="I144" t="s">
        <v>87</v>
      </c>
      <c r="J144" t="s">
        <v>44</v>
      </c>
      <c r="K144" t="s">
        <v>110</v>
      </c>
      <c r="L144" t="s">
        <v>111</v>
      </c>
      <c r="M144" s="4">
        <v>11.87</v>
      </c>
      <c r="N144">
        <v>5</v>
      </c>
      <c r="O144" s="5">
        <v>0</v>
      </c>
      <c r="P144" s="4">
        <v>59.35</v>
      </c>
      <c r="Q144" s="4">
        <v>13.62</v>
      </c>
    </row>
    <row r="145" spans="1:17">
      <c r="A145" t="s">
        <v>274</v>
      </c>
      <c r="B145" s="3">
        <v>45880</v>
      </c>
      <c r="C145" s="3">
        <v>45883</v>
      </c>
      <c r="D145" t="s">
        <v>158</v>
      </c>
      <c r="E145" t="s">
        <v>159</v>
      </c>
      <c r="F145" t="s">
        <v>66</v>
      </c>
      <c r="G145" t="s">
        <v>78</v>
      </c>
      <c r="H145" t="s">
        <v>79</v>
      </c>
      <c r="I145" t="s">
        <v>124</v>
      </c>
      <c r="J145" t="s">
        <v>51</v>
      </c>
      <c r="K145" t="s">
        <v>52</v>
      </c>
      <c r="L145" t="s">
        <v>81</v>
      </c>
      <c r="M145" s="4">
        <v>72.400000000000006</v>
      </c>
      <c r="N145">
        <v>1</v>
      </c>
      <c r="O145" s="5">
        <v>0</v>
      </c>
      <c r="P145" s="4">
        <v>72.400000000000006</v>
      </c>
      <c r="Q145" s="4">
        <v>10.97</v>
      </c>
    </row>
    <row r="146" spans="1:17">
      <c r="A146" t="s">
        <v>275</v>
      </c>
      <c r="B146" s="3">
        <v>45722</v>
      </c>
      <c r="C146" s="3">
        <v>45723</v>
      </c>
      <c r="D146" t="s">
        <v>71</v>
      </c>
      <c r="E146" t="s">
        <v>72</v>
      </c>
      <c r="F146" t="s">
        <v>50</v>
      </c>
      <c r="G146" t="s">
        <v>85</v>
      </c>
      <c r="H146" t="s">
        <v>86</v>
      </c>
      <c r="I146" t="s">
        <v>95</v>
      </c>
      <c r="J146" t="s">
        <v>60</v>
      </c>
      <c r="K146" t="s">
        <v>61</v>
      </c>
      <c r="L146" t="s">
        <v>62</v>
      </c>
      <c r="M146" s="4">
        <v>66.89</v>
      </c>
      <c r="N146">
        <v>4</v>
      </c>
      <c r="O146" s="5">
        <v>0.2</v>
      </c>
      <c r="P146" s="4">
        <v>214.04</v>
      </c>
      <c r="Q146" s="4">
        <v>30.08</v>
      </c>
    </row>
    <row r="147" spans="1:17">
      <c r="A147" t="s">
        <v>276</v>
      </c>
      <c r="B147" s="3">
        <v>45848</v>
      </c>
      <c r="C147" s="3">
        <v>45852</v>
      </c>
      <c r="D147" t="s">
        <v>76</v>
      </c>
      <c r="E147" t="s">
        <v>77</v>
      </c>
      <c r="F147" t="s">
        <v>50</v>
      </c>
      <c r="G147" t="s">
        <v>41</v>
      </c>
      <c r="H147" t="s">
        <v>42</v>
      </c>
      <c r="I147" t="s">
        <v>101</v>
      </c>
      <c r="J147" t="s">
        <v>60</v>
      </c>
      <c r="K147" t="s">
        <v>61</v>
      </c>
      <c r="L147" t="s">
        <v>62</v>
      </c>
      <c r="M147" s="4">
        <v>60.29</v>
      </c>
      <c r="N147">
        <v>2</v>
      </c>
      <c r="O147" s="5">
        <v>0.1</v>
      </c>
      <c r="P147" s="4">
        <v>108.52</v>
      </c>
      <c r="Q147" s="4">
        <v>15.38</v>
      </c>
    </row>
    <row r="148" spans="1:17">
      <c r="A148" t="s">
        <v>277</v>
      </c>
      <c r="B148" s="3">
        <v>45923</v>
      </c>
      <c r="C148" s="3">
        <v>45927</v>
      </c>
      <c r="D148" t="s">
        <v>121</v>
      </c>
      <c r="E148" t="s">
        <v>122</v>
      </c>
      <c r="F148" t="s">
        <v>50</v>
      </c>
      <c r="G148" t="s">
        <v>57</v>
      </c>
      <c r="H148" t="s">
        <v>58</v>
      </c>
      <c r="I148" t="s">
        <v>59</v>
      </c>
      <c r="J148" t="s">
        <v>51</v>
      </c>
      <c r="K148" t="s">
        <v>52</v>
      </c>
      <c r="L148" t="s">
        <v>53</v>
      </c>
      <c r="M148" s="4">
        <v>47.47</v>
      </c>
      <c r="N148">
        <v>2</v>
      </c>
      <c r="O148" s="5">
        <v>0</v>
      </c>
      <c r="P148" s="4">
        <v>94.95</v>
      </c>
      <c r="Q148" s="4">
        <v>21.46</v>
      </c>
    </row>
    <row r="149" spans="1:17">
      <c r="A149" t="s">
        <v>278</v>
      </c>
      <c r="B149" s="3">
        <v>45695</v>
      </c>
      <c r="C149" s="3">
        <v>45699</v>
      </c>
      <c r="D149" t="s">
        <v>113</v>
      </c>
      <c r="E149" t="s">
        <v>114</v>
      </c>
      <c r="F149" t="s">
        <v>66</v>
      </c>
      <c r="G149" t="s">
        <v>57</v>
      </c>
      <c r="H149" t="s">
        <v>58</v>
      </c>
      <c r="I149" t="s">
        <v>67</v>
      </c>
      <c r="J149" t="s">
        <v>51</v>
      </c>
      <c r="K149" t="s">
        <v>125</v>
      </c>
      <c r="L149" t="s">
        <v>126</v>
      </c>
      <c r="M149" s="4">
        <v>840.67</v>
      </c>
      <c r="N149">
        <v>3</v>
      </c>
      <c r="O149" s="5">
        <v>0.15</v>
      </c>
      <c r="P149" s="4">
        <v>2143.71</v>
      </c>
      <c r="Q149" s="4">
        <v>154.22999999999999</v>
      </c>
    </row>
    <row r="150" spans="1:17">
      <c r="A150" t="s">
        <v>279</v>
      </c>
      <c r="B150" s="3">
        <v>45935</v>
      </c>
      <c r="C150" s="3">
        <v>45938</v>
      </c>
      <c r="D150" t="s">
        <v>64</v>
      </c>
      <c r="E150" t="s">
        <v>65</v>
      </c>
      <c r="F150" t="s">
        <v>66</v>
      </c>
      <c r="G150" t="s">
        <v>57</v>
      </c>
      <c r="H150" t="s">
        <v>58</v>
      </c>
      <c r="I150" t="s">
        <v>67</v>
      </c>
      <c r="J150" t="s">
        <v>60</v>
      </c>
      <c r="K150" t="s">
        <v>73</v>
      </c>
      <c r="L150" t="s">
        <v>74</v>
      </c>
      <c r="M150" s="4">
        <v>363.29</v>
      </c>
      <c r="N150">
        <v>5</v>
      </c>
      <c r="O150" s="5">
        <v>0.2</v>
      </c>
      <c r="P150" s="4">
        <v>1453.14</v>
      </c>
      <c r="Q150" s="4">
        <v>330.43</v>
      </c>
    </row>
    <row r="151" spans="1:17">
      <c r="A151" t="s">
        <v>280</v>
      </c>
      <c r="B151" s="3">
        <v>45729</v>
      </c>
      <c r="C151" s="3">
        <v>45731</v>
      </c>
      <c r="D151" t="s">
        <v>163</v>
      </c>
      <c r="E151" t="s">
        <v>164</v>
      </c>
      <c r="F151" t="s">
        <v>40</v>
      </c>
      <c r="G151" t="s">
        <v>85</v>
      </c>
      <c r="H151" t="s">
        <v>86</v>
      </c>
      <c r="I151" t="s">
        <v>160</v>
      </c>
      <c r="J151" t="s">
        <v>51</v>
      </c>
      <c r="K151" t="s">
        <v>125</v>
      </c>
      <c r="L151" t="s">
        <v>126</v>
      </c>
      <c r="M151" s="4">
        <v>826.35</v>
      </c>
      <c r="N151">
        <v>8</v>
      </c>
      <c r="O151" s="5">
        <v>0</v>
      </c>
      <c r="P151" s="4">
        <v>6610.82</v>
      </c>
      <c r="Q151" s="4">
        <v>1276.3499999999999</v>
      </c>
    </row>
    <row r="152" spans="1:17">
      <c r="A152" t="s">
        <v>281</v>
      </c>
      <c r="B152" s="3">
        <v>45903</v>
      </c>
      <c r="C152" s="3">
        <v>45908</v>
      </c>
      <c r="D152" t="s">
        <v>154</v>
      </c>
      <c r="E152" t="s">
        <v>155</v>
      </c>
      <c r="F152" t="s">
        <v>50</v>
      </c>
      <c r="G152" t="s">
        <v>85</v>
      </c>
      <c r="H152" t="s">
        <v>86</v>
      </c>
      <c r="I152" t="s">
        <v>87</v>
      </c>
      <c r="J152" t="s">
        <v>51</v>
      </c>
      <c r="K152" t="s">
        <v>52</v>
      </c>
      <c r="L152" t="s">
        <v>81</v>
      </c>
      <c r="M152" s="4">
        <v>68.73</v>
      </c>
      <c r="N152">
        <v>7</v>
      </c>
      <c r="O152" s="5">
        <v>0.2</v>
      </c>
      <c r="P152" s="4">
        <v>384.9</v>
      </c>
      <c r="Q152" s="4">
        <v>74.56</v>
      </c>
    </row>
    <row r="153" spans="1:17">
      <c r="A153" t="s">
        <v>282</v>
      </c>
      <c r="B153" s="3">
        <v>45834</v>
      </c>
      <c r="C153" s="3">
        <v>45836</v>
      </c>
      <c r="D153" t="s">
        <v>48</v>
      </c>
      <c r="E153" t="s">
        <v>49</v>
      </c>
      <c r="F153" t="s">
        <v>50</v>
      </c>
      <c r="G153" t="s">
        <v>57</v>
      </c>
      <c r="H153" t="s">
        <v>58</v>
      </c>
      <c r="I153" t="s">
        <v>67</v>
      </c>
      <c r="J153" t="s">
        <v>44</v>
      </c>
      <c r="K153" t="s">
        <v>143</v>
      </c>
      <c r="L153" t="s">
        <v>144</v>
      </c>
      <c r="M153" s="4">
        <v>19.68</v>
      </c>
      <c r="N153">
        <v>3</v>
      </c>
      <c r="O153" s="5">
        <v>0.2</v>
      </c>
      <c r="P153" s="4">
        <v>47.23</v>
      </c>
      <c r="Q153" s="4">
        <v>7.47</v>
      </c>
    </row>
    <row r="154" spans="1:17">
      <c r="A154" t="s">
        <v>283</v>
      </c>
      <c r="B154" s="3">
        <v>45740</v>
      </c>
      <c r="C154" s="3">
        <v>45743</v>
      </c>
      <c r="D154" t="s">
        <v>132</v>
      </c>
      <c r="E154" t="s">
        <v>133</v>
      </c>
      <c r="F154" t="s">
        <v>40</v>
      </c>
      <c r="G154" t="s">
        <v>41</v>
      </c>
      <c r="H154" t="s">
        <v>42</v>
      </c>
      <c r="I154" t="s">
        <v>43</v>
      </c>
      <c r="J154" t="s">
        <v>51</v>
      </c>
      <c r="K154" t="s">
        <v>52</v>
      </c>
      <c r="L154" t="s">
        <v>81</v>
      </c>
      <c r="M154" s="4">
        <v>76.260000000000005</v>
      </c>
      <c r="N154">
        <v>4</v>
      </c>
      <c r="O154" s="5">
        <v>0</v>
      </c>
      <c r="P154" s="4">
        <v>305.06</v>
      </c>
      <c r="Q154" s="4">
        <v>54.83</v>
      </c>
    </row>
    <row r="155" spans="1:17">
      <c r="A155" t="s">
        <v>284</v>
      </c>
      <c r="B155" s="3">
        <v>45722</v>
      </c>
      <c r="C155" s="3">
        <v>45728</v>
      </c>
      <c r="D155" t="s">
        <v>93</v>
      </c>
      <c r="E155" t="s">
        <v>94</v>
      </c>
      <c r="F155" t="s">
        <v>50</v>
      </c>
      <c r="G155" t="s">
        <v>41</v>
      </c>
      <c r="H155" t="s">
        <v>42</v>
      </c>
      <c r="I155" t="s">
        <v>119</v>
      </c>
      <c r="J155" t="s">
        <v>60</v>
      </c>
      <c r="K155" t="s">
        <v>61</v>
      </c>
      <c r="L155" t="s">
        <v>96</v>
      </c>
      <c r="M155" s="4">
        <v>90.6</v>
      </c>
      <c r="N155">
        <v>5</v>
      </c>
      <c r="O155" s="5">
        <v>0.1</v>
      </c>
      <c r="P155" s="4">
        <v>407.71</v>
      </c>
      <c r="Q155" s="4">
        <v>71.61</v>
      </c>
    </row>
    <row r="156" spans="1:17">
      <c r="A156" t="s">
        <v>285</v>
      </c>
      <c r="B156" s="3">
        <v>45946</v>
      </c>
      <c r="C156" s="3">
        <v>45947</v>
      </c>
      <c r="D156" t="s">
        <v>55</v>
      </c>
      <c r="E156" t="s">
        <v>56</v>
      </c>
      <c r="F156" t="s">
        <v>40</v>
      </c>
      <c r="G156" t="s">
        <v>85</v>
      </c>
      <c r="H156" t="s">
        <v>86</v>
      </c>
      <c r="I156" t="s">
        <v>95</v>
      </c>
      <c r="J156" t="s">
        <v>60</v>
      </c>
      <c r="K156" t="s">
        <v>61</v>
      </c>
      <c r="L156" t="s">
        <v>96</v>
      </c>
      <c r="M156" s="4">
        <v>81.819999999999993</v>
      </c>
      <c r="N156">
        <v>1</v>
      </c>
      <c r="O156" s="5">
        <v>0</v>
      </c>
      <c r="P156" s="4">
        <v>81.819999999999993</v>
      </c>
      <c r="Q156" s="4">
        <v>17.21</v>
      </c>
    </row>
    <row r="157" spans="1:17">
      <c r="A157" t="s">
        <v>286</v>
      </c>
      <c r="B157" s="3">
        <v>45979</v>
      </c>
      <c r="C157" s="3">
        <v>45984</v>
      </c>
      <c r="D157" t="s">
        <v>121</v>
      </c>
      <c r="E157" t="s">
        <v>122</v>
      </c>
      <c r="F157" t="s">
        <v>66</v>
      </c>
      <c r="G157" t="s">
        <v>85</v>
      </c>
      <c r="H157" t="s">
        <v>86</v>
      </c>
      <c r="I157" t="s">
        <v>87</v>
      </c>
      <c r="J157" t="s">
        <v>60</v>
      </c>
      <c r="K157" t="s">
        <v>73</v>
      </c>
      <c r="L157" t="s">
        <v>74</v>
      </c>
      <c r="M157" s="4">
        <v>425.62</v>
      </c>
      <c r="N157">
        <v>5</v>
      </c>
      <c r="O157" s="5">
        <v>0.15</v>
      </c>
      <c r="P157" s="4">
        <v>1808.88</v>
      </c>
      <c r="Q157" s="4">
        <v>308.83999999999997</v>
      </c>
    </row>
    <row r="158" spans="1:17">
      <c r="A158" t="s">
        <v>287</v>
      </c>
      <c r="B158" s="3">
        <v>45883</v>
      </c>
      <c r="C158" s="3">
        <v>45887</v>
      </c>
      <c r="D158" t="s">
        <v>132</v>
      </c>
      <c r="E158" t="s">
        <v>133</v>
      </c>
      <c r="F158" t="s">
        <v>66</v>
      </c>
      <c r="G158" t="s">
        <v>78</v>
      </c>
      <c r="H158" t="s">
        <v>79</v>
      </c>
      <c r="I158" t="s">
        <v>124</v>
      </c>
      <c r="J158" t="s">
        <v>51</v>
      </c>
      <c r="K158" t="s">
        <v>125</v>
      </c>
      <c r="L158" t="s">
        <v>126</v>
      </c>
      <c r="M158" s="4">
        <v>799.68</v>
      </c>
      <c r="N158">
        <v>8</v>
      </c>
      <c r="O158" s="5">
        <v>0.05</v>
      </c>
      <c r="P158" s="4">
        <v>6077.6</v>
      </c>
      <c r="Q158" s="4">
        <v>1225.6400000000001</v>
      </c>
    </row>
    <row r="159" spans="1:17">
      <c r="A159" t="s">
        <v>288</v>
      </c>
      <c r="B159" s="3">
        <v>45921</v>
      </c>
      <c r="C159" s="3">
        <v>45926</v>
      </c>
      <c r="D159" t="s">
        <v>76</v>
      </c>
      <c r="E159" t="s">
        <v>77</v>
      </c>
      <c r="F159" t="s">
        <v>66</v>
      </c>
      <c r="G159" t="s">
        <v>57</v>
      </c>
      <c r="H159" t="s">
        <v>58</v>
      </c>
      <c r="I159" t="s">
        <v>67</v>
      </c>
      <c r="J159" t="s">
        <v>44</v>
      </c>
      <c r="K159" t="s">
        <v>45</v>
      </c>
      <c r="L159" t="s">
        <v>46</v>
      </c>
      <c r="M159" s="4">
        <v>7.59</v>
      </c>
      <c r="N159">
        <v>2</v>
      </c>
      <c r="O159" s="5">
        <v>0</v>
      </c>
      <c r="P159" s="4">
        <v>15.17</v>
      </c>
      <c r="Q159" s="4">
        <v>1.22</v>
      </c>
    </row>
    <row r="160" spans="1:17">
      <c r="A160" t="s">
        <v>289</v>
      </c>
      <c r="B160" s="3">
        <v>45872</v>
      </c>
      <c r="C160" s="3">
        <v>45874</v>
      </c>
      <c r="D160" t="s">
        <v>158</v>
      </c>
      <c r="E160" t="s">
        <v>159</v>
      </c>
      <c r="F160" t="s">
        <v>50</v>
      </c>
      <c r="G160" t="s">
        <v>85</v>
      </c>
      <c r="H160" t="s">
        <v>86</v>
      </c>
      <c r="I160" t="s">
        <v>95</v>
      </c>
      <c r="J160" t="s">
        <v>44</v>
      </c>
      <c r="K160" t="s">
        <v>143</v>
      </c>
      <c r="L160" t="s">
        <v>144</v>
      </c>
      <c r="M160" s="4">
        <v>17.38</v>
      </c>
      <c r="N160">
        <v>3</v>
      </c>
      <c r="O160" s="5">
        <v>0.2</v>
      </c>
      <c r="P160" s="4">
        <v>41.71</v>
      </c>
      <c r="Q160" s="4">
        <v>8.11</v>
      </c>
    </row>
    <row r="161" spans="1:17">
      <c r="A161" t="s">
        <v>290</v>
      </c>
      <c r="B161" s="3">
        <v>45912</v>
      </c>
      <c r="C161" s="3">
        <v>45913</v>
      </c>
      <c r="D161" t="s">
        <v>105</v>
      </c>
      <c r="E161" t="s">
        <v>106</v>
      </c>
      <c r="F161" t="s">
        <v>40</v>
      </c>
      <c r="G161" t="s">
        <v>85</v>
      </c>
      <c r="H161" t="s">
        <v>86</v>
      </c>
      <c r="I161" t="s">
        <v>160</v>
      </c>
      <c r="J161" t="s">
        <v>44</v>
      </c>
      <c r="K161" t="s">
        <v>143</v>
      </c>
      <c r="L161" t="s">
        <v>144</v>
      </c>
      <c r="M161" s="4">
        <v>18.02</v>
      </c>
      <c r="N161">
        <v>2</v>
      </c>
      <c r="O161" s="5">
        <v>0.05</v>
      </c>
      <c r="P161" s="4">
        <v>34.24</v>
      </c>
      <c r="Q161" s="4">
        <v>9.99</v>
      </c>
    </row>
    <row r="162" spans="1:17">
      <c r="A162" t="s">
        <v>291</v>
      </c>
      <c r="B162" s="3">
        <v>45992</v>
      </c>
      <c r="C162" s="3">
        <v>45998</v>
      </c>
      <c r="D162" t="s">
        <v>158</v>
      </c>
      <c r="E162" t="s">
        <v>159</v>
      </c>
      <c r="F162" t="s">
        <v>50</v>
      </c>
      <c r="G162" t="s">
        <v>57</v>
      </c>
      <c r="H162" t="s">
        <v>58</v>
      </c>
      <c r="I162" t="s">
        <v>59</v>
      </c>
      <c r="J162" t="s">
        <v>44</v>
      </c>
      <c r="K162" t="s">
        <v>143</v>
      </c>
      <c r="L162" t="s">
        <v>144</v>
      </c>
      <c r="M162" s="4">
        <v>18.13</v>
      </c>
      <c r="N162">
        <v>8</v>
      </c>
      <c r="O162" s="5">
        <v>0</v>
      </c>
      <c r="P162" s="4">
        <v>145.06</v>
      </c>
      <c r="Q162" s="4">
        <v>37.979999999999997</v>
      </c>
    </row>
    <row r="163" spans="1:17">
      <c r="A163" t="s">
        <v>292</v>
      </c>
      <c r="B163" s="3">
        <v>45863</v>
      </c>
      <c r="C163" s="3">
        <v>45864</v>
      </c>
      <c r="D163" t="s">
        <v>71</v>
      </c>
      <c r="E163" t="s">
        <v>72</v>
      </c>
      <c r="F163" t="s">
        <v>66</v>
      </c>
      <c r="G163" t="s">
        <v>57</v>
      </c>
      <c r="H163" t="s">
        <v>58</v>
      </c>
      <c r="I163" t="s">
        <v>67</v>
      </c>
      <c r="J163" t="s">
        <v>44</v>
      </c>
      <c r="K163" t="s">
        <v>165</v>
      </c>
      <c r="L163" t="s">
        <v>166</v>
      </c>
      <c r="M163" s="4">
        <v>15.16</v>
      </c>
      <c r="N163">
        <v>4</v>
      </c>
      <c r="O163" s="5">
        <v>0</v>
      </c>
      <c r="P163" s="4">
        <v>60.64</v>
      </c>
      <c r="Q163" s="4">
        <v>4.1500000000000004</v>
      </c>
    </row>
    <row r="164" spans="1:17">
      <c r="A164" t="s">
        <v>293</v>
      </c>
      <c r="B164" s="3">
        <v>45707</v>
      </c>
      <c r="C164" s="3">
        <v>45711</v>
      </c>
      <c r="D164" t="s">
        <v>113</v>
      </c>
      <c r="E164" t="s">
        <v>114</v>
      </c>
      <c r="F164" t="s">
        <v>40</v>
      </c>
      <c r="G164" t="s">
        <v>57</v>
      </c>
      <c r="H164" t="s">
        <v>58</v>
      </c>
      <c r="I164" t="s">
        <v>67</v>
      </c>
      <c r="J164" t="s">
        <v>60</v>
      </c>
      <c r="K164" t="s">
        <v>73</v>
      </c>
      <c r="L164" t="s">
        <v>74</v>
      </c>
      <c r="M164" s="4">
        <v>427.97</v>
      </c>
      <c r="N164">
        <v>6</v>
      </c>
      <c r="O164" s="5">
        <v>0.2</v>
      </c>
      <c r="P164" s="4">
        <v>2054.25</v>
      </c>
      <c r="Q164" s="4">
        <v>389.19</v>
      </c>
    </row>
    <row r="165" spans="1:17">
      <c r="A165" t="s">
        <v>294</v>
      </c>
      <c r="B165" s="3">
        <v>45678</v>
      </c>
      <c r="C165" s="3">
        <v>45679</v>
      </c>
      <c r="D165" t="s">
        <v>48</v>
      </c>
      <c r="E165" t="s">
        <v>49</v>
      </c>
      <c r="F165" t="s">
        <v>40</v>
      </c>
      <c r="G165" t="s">
        <v>85</v>
      </c>
      <c r="H165" t="s">
        <v>86</v>
      </c>
      <c r="I165" t="s">
        <v>95</v>
      </c>
      <c r="J165" t="s">
        <v>60</v>
      </c>
      <c r="K165" t="s">
        <v>61</v>
      </c>
      <c r="L165" t="s">
        <v>62</v>
      </c>
      <c r="M165" s="4">
        <v>67.78</v>
      </c>
      <c r="N165">
        <v>1</v>
      </c>
      <c r="O165" s="5">
        <v>0</v>
      </c>
      <c r="P165" s="4">
        <v>67.78</v>
      </c>
      <c r="Q165" s="4">
        <v>17.010000000000002</v>
      </c>
    </row>
    <row r="166" spans="1:17">
      <c r="A166" t="s">
        <v>295</v>
      </c>
      <c r="B166" s="3">
        <v>45821</v>
      </c>
      <c r="C166" s="3">
        <v>45823</v>
      </c>
      <c r="D166" t="s">
        <v>158</v>
      </c>
      <c r="E166" t="s">
        <v>159</v>
      </c>
      <c r="F166" t="s">
        <v>40</v>
      </c>
      <c r="G166" t="s">
        <v>85</v>
      </c>
      <c r="H166" t="s">
        <v>86</v>
      </c>
      <c r="I166" t="s">
        <v>87</v>
      </c>
      <c r="J166" t="s">
        <v>51</v>
      </c>
      <c r="K166" t="s">
        <v>52</v>
      </c>
      <c r="L166" t="s">
        <v>81</v>
      </c>
      <c r="M166" s="4">
        <v>73.349999999999994</v>
      </c>
      <c r="N166">
        <v>7</v>
      </c>
      <c r="O166" s="5">
        <v>0.1</v>
      </c>
      <c r="P166" s="4">
        <v>462.11</v>
      </c>
      <c r="Q166" s="4">
        <v>57.68</v>
      </c>
    </row>
    <row r="167" spans="1:17">
      <c r="A167" t="s">
        <v>296</v>
      </c>
      <c r="B167" s="3">
        <v>45846</v>
      </c>
      <c r="C167" s="3">
        <v>45849</v>
      </c>
      <c r="D167" t="s">
        <v>221</v>
      </c>
      <c r="E167" t="s">
        <v>222</v>
      </c>
      <c r="F167" t="s">
        <v>40</v>
      </c>
      <c r="G167" t="s">
        <v>78</v>
      </c>
      <c r="H167" t="s">
        <v>79</v>
      </c>
      <c r="I167" t="s">
        <v>80</v>
      </c>
      <c r="J167" t="s">
        <v>44</v>
      </c>
      <c r="K167" t="s">
        <v>143</v>
      </c>
      <c r="L167" t="s">
        <v>144</v>
      </c>
      <c r="M167" s="4">
        <v>18.3</v>
      </c>
      <c r="N167">
        <v>2</v>
      </c>
      <c r="O167" s="5">
        <v>0.05</v>
      </c>
      <c r="P167" s="4">
        <v>34.770000000000003</v>
      </c>
      <c r="Q167" s="4">
        <v>8.66</v>
      </c>
    </row>
    <row r="168" spans="1:17">
      <c r="A168" t="s">
        <v>297</v>
      </c>
      <c r="B168" s="3">
        <v>45774</v>
      </c>
      <c r="C168" s="3">
        <v>45780</v>
      </c>
      <c r="D168" t="s">
        <v>89</v>
      </c>
      <c r="E168" t="s">
        <v>90</v>
      </c>
      <c r="F168" t="s">
        <v>66</v>
      </c>
      <c r="G168" t="s">
        <v>41</v>
      </c>
      <c r="H168" t="s">
        <v>42</v>
      </c>
      <c r="I168" t="s">
        <v>101</v>
      </c>
      <c r="J168" t="s">
        <v>44</v>
      </c>
      <c r="K168" t="s">
        <v>140</v>
      </c>
      <c r="L168" t="s">
        <v>141</v>
      </c>
      <c r="M168" s="4">
        <v>24.9</v>
      </c>
      <c r="N168">
        <v>1</v>
      </c>
      <c r="O168" s="5">
        <v>0.1</v>
      </c>
      <c r="P168" s="4">
        <v>22.41</v>
      </c>
      <c r="Q168" s="4">
        <v>4.0599999999999996</v>
      </c>
    </row>
    <row r="169" spans="1:17">
      <c r="A169" t="s">
        <v>298</v>
      </c>
      <c r="B169" s="3">
        <v>46016</v>
      </c>
      <c r="C169" s="3">
        <v>46017</v>
      </c>
      <c r="D169" t="s">
        <v>89</v>
      </c>
      <c r="E169" t="s">
        <v>90</v>
      </c>
      <c r="F169" t="s">
        <v>40</v>
      </c>
      <c r="G169" t="s">
        <v>78</v>
      </c>
      <c r="H169" t="s">
        <v>79</v>
      </c>
      <c r="I169" t="s">
        <v>135</v>
      </c>
      <c r="J169" t="s">
        <v>51</v>
      </c>
      <c r="K169" t="s">
        <v>125</v>
      </c>
      <c r="L169" t="s">
        <v>126</v>
      </c>
      <c r="M169" s="4">
        <v>839.98</v>
      </c>
      <c r="N169">
        <v>4</v>
      </c>
      <c r="O169" s="5">
        <v>0</v>
      </c>
      <c r="P169" s="4">
        <v>3359.91</v>
      </c>
      <c r="Q169" s="4">
        <v>519.76</v>
      </c>
    </row>
    <row r="170" spans="1:17">
      <c r="A170" t="s">
        <v>299</v>
      </c>
      <c r="B170" s="3">
        <v>46019</v>
      </c>
      <c r="C170" s="3">
        <v>46021</v>
      </c>
      <c r="D170" t="s">
        <v>71</v>
      </c>
      <c r="E170" t="s">
        <v>72</v>
      </c>
      <c r="F170" t="s">
        <v>40</v>
      </c>
      <c r="G170" t="s">
        <v>85</v>
      </c>
      <c r="H170" t="s">
        <v>86</v>
      </c>
      <c r="I170" t="s">
        <v>160</v>
      </c>
      <c r="J170" t="s">
        <v>60</v>
      </c>
      <c r="K170" t="s">
        <v>61</v>
      </c>
      <c r="L170" t="s">
        <v>62</v>
      </c>
      <c r="M170" s="4">
        <v>62.73</v>
      </c>
      <c r="N170">
        <v>4</v>
      </c>
      <c r="O170" s="5">
        <v>0.1</v>
      </c>
      <c r="P170" s="4">
        <v>225.81</v>
      </c>
      <c r="Q170" s="4">
        <v>48.67</v>
      </c>
    </row>
    <row r="171" spans="1:17">
      <c r="A171" t="s">
        <v>300</v>
      </c>
      <c r="B171" s="3">
        <v>45839</v>
      </c>
      <c r="C171" s="3">
        <v>45845</v>
      </c>
      <c r="D171" t="s">
        <v>64</v>
      </c>
      <c r="E171" t="s">
        <v>65</v>
      </c>
      <c r="F171" t="s">
        <v>66</v>
      </c>
      <c r="G171" t="s">
        <v>57</v>
      </c>
      <c r="H171" t="s">
        <v>58</v>
      </c>
      <c r="I171" t="s">
        <v>59</v>
      </c>
      <c r="J171" t="s">
        <v>60</v>
      </c>
      <c r="K171" t="s">
        <v>128</v>
      </c>
      <c r="L171" t="s">
        <v>129</v>
      </c>
      <c r="M171" s="4">
        <v>279.11</v>
      </c>
      <c r="N171">
        <v>5</v>
      </c>
      <c r="O171" s="5">
        <v>0.1</v>
      </c>
      <c r="P171" s="4">
        <v>1256.01</v>
      </c>
      <c r="Q171" s="4">
        <v>363.41</v>
      </c>
    </row>
    <row r="172" spans="1:17">
      <c r="A172" t="s">
        <v>301</v>
      </c>
      <c r="B172" s="3">
        <v>45820</v>
      </c>
      <c r="C172" s="3">
        <v>45824</v>
      </c>
      <c r="D172" t="s">
        <v>121</v>
      </c>
      <c r="E172" t="s">
        <v>122</v>
      </c>
      <c r="F172" t="s">
        <v>66</v>
      </c>
      <c r="G172" t="s">
        <v>57</v>
      </c>
      <c r="H172" t="s">
        <v>58</v>
      </c>
      <c r="I172" t="s">
        <v>59</v>
      </c>
      <c r="J172" t="s">
        <v>44</v>
      </c>
      <c r="K172" t="s">
        <v>45</v>
      </c>
      <c r="L172" t="s">
        <v>46</v>
      </c>
      <c r="M172" s="4">
        <v>8.69</v>
      </c>
      <c r="N172">
        <v>6</v>
      </c>
      <c r="O172" s="5">
        <v>0.1</v>
      </c>
      <c r="P172" s="4">
        <v>46.95</v>
      </c>
      <c r="Q172" s="4">
        <v>11.68</v>
      </c>
    </row>
    <row r="173" spans="1:17">
      <c r="A173" t="s">
        <v>302</v>
      </c>
      <c r="B173" s="3">
        <v>45834</v>
      </c>
      <c r="C173" s="3">
        <v>45841</v>
      </c>
      <c r="D173" t="s">
        <v>154</v>
      </c>
      <c r="E173" t="s">
        <v>155</v>
      </c>
      <c r="F173" t="s">
        <v>40</v>
      </c>
      <c r="G173" t="s">
        <v>41</v>
      </c>
      <c r="H173" t="s">
        <v>42</v>
      </c>
      <c r="I173" t="s">
        <v>101</v>
      </c>
      <c r="J173" t="s">
        <v>60</v>
      </c>
      <c r="K173" t="s">
        <v>61</v>
      </c>
      <c r="L173" t="s">
        <v>62</v>
      </c>
      <c r="M173" s="4">
        <v>59.05</v>
      </c>
      <c r="N173">
        <v>3</v>
      </c>
      <c r="O173" s="5">
        <v>0</v>
      </c>
      <c r="P173" s="4">
        <v>177.14</v>
      </c>
      <c r="Q173" s="4">
        <v>-19.91</v>
      </c>
    </row>
    <row r="174" spans="1:17">
      <c r="A174" t="s">
        <v>303</v>
      </c>
      <c r="B174" s="3">
        <v>45796</v>
      </c>
      <c r="C174" s="3">
        <v>45801</v>
      </c>
      <c r="D174" t="s">
        <v>64</v>
      </c>
      <c r="E174" t="s">
        <v>65</v>
      </c>
      <c r="F174" t="s">
        <v>66</v>
      </c>
      <c r="G174" t="s">
        <v>57</v>
      </c>
      <c r="H174" t="s">
        <v>58</v>
      </c>
      <c r="I174" t="s">
        <v>67</v>
      </c>
      <c r="J174" t="s">
        <v>51</v>
      </c>
      <c r="K174" t="s">
        <v>52</v>
      </c>
      <c r="L174" t="s">
        <v>53</v>
      </c>
      <c r="M174" s="4">
        <v>41.48</v>
      </c>
      <c r="N174">
        <v>5</v>
      </c>
      <c r="O174" s="5">
        <v>0</v>
      </c>
      <c r="P174" s="4">
        <v>207.42</v>
      </c>
      <c r="Q174" s="4">
        <v>48.79</v>
      </c>
    </row>
    <row r="175" spans="1:17">
      <c r="A175" t="s">
        <v>304</v>
      </c>
      <c r="B175" s="3">
        <v>45709</v>
      </c>
      <c r="C175" s="3">
        <v>45713</v>
      </c>
      <c r="D175" t="s">
        <v>71</v>
      </c>
      <c r="E175" t="s">
        <v>72</v>
      </c>
      <c r="F175" t="s">
        <v>40</v>
      </c>
      <c r="G175" t="s">
        <v>41</v>
      </c>
      <c r="H175" t="s">
        <v>42</v>
      </c>
      <c r="I175" t="s">
        <v>101</v>
      </c>
      <c r="J175" t="s">
        <v>51</v>
      </c>
      <c r="K175" t="s">
        <v>52</v>
      </c>
      <c r="L175" t="s">
        <v>53</v>
      </c>
      <c r="M175" s="4">
        <v>44.75</v>
      </c>
      <c r="N175">
        <v>6</v>
      </c>
      <c r="O175" s="5">
        <v>0.15</v>
      </c>
      <c r="P175" s="4">
        <v>228.23</v>
      </c>
      <c r="Q175" s="4">
        <v>50.28</v>
      </c>
    </row>
    <row r="176" spans="1:17">
      <c r="A176" t="s">
        <v>305</v>
      </c>
      <c r="B176" s="3">
        <v>45805</v>
      </c>
      <c r="C176" s="3">
        <v>45808</v>
      </c>
      <c r="D176" t="s">
        <v>163</v>
      </c>
      <c r="E176" t="s">
        <v>164</v>
      </c>
      <c r="F176" t="s">
        <v>40</v>
      </c>
      <c r="G176" t="s">
        <v>85</v>
      </c>
      <c r="H176" t="s">
        <v>86</v>
      </c>
      <c r="I176" t="s">
        <v>160</v>
      </c>
      <c r="J176" t="s">
        <v>44</v>
      </c>
      <c r="K176" t="s">
        <v>143</v>
      </c>
      <c r="L176" t="s">
        <v>144</v>
      </c>
      <c r="M176" s="4">
        <v>16.41</v>
      </c>
      <c r="N176">
        <v>5</v>
      </c>
      <c r="O176" s="5">
        <v>0.15</v>
      </c>
      <c r="P176" s="4">
        <v>69.760000000000005</v>
      </c>
      <c r="Q176" s="4">
        <v>16.89</v>
      </c>
    </row>
    <row r="177" spans="1:17">
      <c r="A177" t="s">
        <v>306</v>
      </c>
      <c r="B177" s="3">
        <v>45871</v>
      </c>
      <c r="C177" s="3">
        <v>45878</v>
      </c>
      <c r="D177" t="s">
        <v>132</v>
      </c>
      <c r="E177" t="s">
        <v>133</v>
      </c>
      <c r="F177" t="s">
        <v>40</v>
      </c>
      <c r="G177" t="s">
        <v>85</v>
      </c>
      <c r="H177" t="s">
        <v>86</v>
      </c>
      <c r="I177" t="s">
        <v>87</v>
      </c>
      <c r="J177" t="s">
        <v>60</v>
      </c>
      <c r="K177" t="s">
        <v>73</v>
      </c>
      <c r="L177" t="s">
        <v>74</v>
      </c>
      <c r="M177" s="4">
        <v>428.78</v>
      </c>
      <c r="N177">
        <v>3</v>
      </c>
      <c r="O177" s="5">
        <v>0</v>
      </c>
      <c r="P177" s="4">
        <v>1286.3399999999999</v>
      </c>
      <c r="Q177" s="4">
        <v>191.98</v>
      </c>
    </row>
    <row r="178" spans="1:17">
      <c r="A178" t="s">
        <v>307</v>
      </c>
      <c r="B178" s="3">
        <v>45712</v>
      </c>
      <c r="C178" s="3">
        <v>45715</v>
      </c>
      <c r="D178" t="s">
        <v>158</v>
      </c>
      <c r="E178" t="s">
        <v>159</v>
      </c>
      <c r="F178" t="s">
        <v>50</v>
      </c>
      <c r="G178" t="s">
        <v>57</v>
      </c>
      <c r="H178" t="s">
        <v>58</v>
      </c>
      <c r="I178" t="s">
        <v>59</v>
      </c>
      <c r="J178" t="s">
        <v>44</v>
      </c>
      <c r="K178" t="s">
        <v>140</v>
      </c>
      <c r="L178" t="s">
        <v>141</v>
      </c>
      <c r="M178" s="4">
        <v>27.45</v>
      </c>
      <c r="N178">
        <v>5</v>
      </c>
      <c r="O178" s="5">
        <v>0.05</v>
      </c>
      <c r="P178" s="4">
        <v>130.37</v>
      </c>
      <c r="Q178" s="4">
        <v>24.23</v>
      </c>
    </row>
    <row r="179" spans="1:17">
      <c r="A179" t="s">
        <v>308</v>
      </c>
      <c r="B179" s="3">
        <v>45827</v>
      </c>
      <c r="C179" s="3">
        <v>45829</v>
      </c>
      <c r="D179" t="s">
        <v>108</v>
      </c>
      <c r="E179" t="s">
        <v>109</v>
      </c>
      <c r="F179" t="s">
        <v>66</v>
      </c>
      <c r="G179" t="s">
        <v>85</v>
      </c>
      <c r="H179" t="s">
        <v>86</v>
      </c>
      <c r="I179" t="s">
        <v>87</v>
      </c>
      <c r="J179" t="s">
        <v>44</v>
      </c>
      <c r="K179" t="s">
        <v>45</v>
      </c>
      <c r="L179" t="s">
        <v>46</v>
      </c>
      <c r="M179" s="4">
        <v>7.61</v>
      </c>
      <c r="N179">
        <v>8</v>
      </c>
      <c r="O179" s="5">
        <v>0.15</v>
      </c>
      <c r="P179" s="4">
        <v>51.76</v>
      </c>
      <c r="Q179" s="4">
        <v>5</v>
      </c>
    </row>
    <row r="180" spans="1:17">
      <c r="A180" t="s">
        <v>309</v>
      </c>
      <c r="B180" s="3">
        <v>45985</v>
      </c>
      <c r="C180" s="3">
        <v>45989</v>
      </c>
      <c r="D180" t="s">
        <v>158</v>
      </c>
      <c r="E180" t="s">
        <v>159</v>
      </c>
      <c r="F180" t="s">
        <v>40</v>
      </c>
      <c r="G180" t="s">
        <v>57</v>
      </c>
      <c r="H180" t="s">
        <v>58</v>
      </c>
      <c r="I180" t="s">
        <v>67</v>
      </c>
      <c r="J180" t="s">
        <v>51</v>
      </c>
      <c r="K180" t="s">
        <v>52</v>
      </c>
      <c r="L180" t="s">
        <v>53</v>
      </c>
      <c r="M180" s="4">
        <v>43.45</v>
      </c>
      <c r="N180">
        <v>7</v>
      </c>
      <c r="O180" s="5">
        <v>0.1</v>
      </c>
      <c r="P180" s="4">
        <v>273.74</v>
      </c>
      <c r="Q180" s="4">
        <v>41.12</v>
      </c>
    </row>
    <row r="181" spans="1:17">
      <c r="A181" t="s">
        <v>310</v>
      </c>
      <c r="B181" s="3">
        <v>45854</v>
      </c>
      <c r="C181" s="3">
        <v>45856</v>
      </c>
      <c r="D181" t="s">
        <v>93</v>
      </c>
      <c r="E181" t="s">
        <v>94</v>
      </c>
      <c r="F181" t="s">
        <v>66</v>
      </c>
      <c r="G181" t="s">
        <v>85</v>
      </c>
      <c r="H181" t="s">
        <v>86</v>
      </c>
      <c r="I181" t="s">
        <v>160</v>
      </c>
      <c r="J181" t="s">
        <v>51</v>
      </c>
      <c r="K181" t="s">
        <v>125</v>
      </c>
      <c r="L181" t="s">
        <v>126</v>
      </c>
      <c r="M181" s="4">
        <v>810.39</v>
      </c>
      <c r="N181">
        <v>8</v>
      </c>
      <c r="O181" s="5">
        <v>0.2</v>
      </c>
      <c r="P181" s="4">
        <v>5186.49</v>
      </c>
      <c r="Q181" s="4">
        <v>686.72</v>
      </c>
    </row>
    <row r="182" spans="1:17">
      <c r="A182" t="s">
        <v>311</v>
      </c>
      <c r="B182" s="3">
        <v>45999</v>
      </c>
      <c r="C182" s="3">
        <v>46000</v>
      </c>
      <c r="D182" t="s">
        <v>71</v>
      </c>
      <c r="E182" t="s">
        <v>72</v>
      </c>
      <c r="F182" t="s">
        <v>40</v>
      </c>
      <c r="G182" t="s">
        <v>41</v>
      </c>
      <c r="H182" t="s">
        <v>42</v>
      </c>
      <c r="I182" t="s">
        <v>119</v>
      </c>
      <c r="J182" t="s">
        <v>44</v>
      </c>
      <c r="K182" t="s">
        <v>45</v>
      </c>
      <c r="L182" t="s">
        <v>46</v>
      </c>
      <c r="M182" s="4">
        <v>7.46</v>
      </c>
      <c r="N182">
        <v>8</v>
      </c>
      <c r="O182" s="5">
        <v>0</v>
      </c>
      <c r="P182" s="4">
        <v>59.64</v>
      </c>
      <c r="Q182" s="4">
        <v>13.21</v>
      </c>
    </row>
    <row r="183" spans="1:17">
      <c r="A183" t="s">
        <v>312</v>
      </c>
      <c r="B183" s="3">
        <v>45972</v>
      </c>
      <c r="C183" s="3">
        <v>45974</v>
      </c>
      <c r="D183" t="s">
        <v>76</v>
      </c>
      <c r="E183" t="s">
        <v>77</v>
      </c>
      <c r="F183" t="s">
        <v>50</v>
      </c>
      <c r="G183" t="s">
        <v>57</v>
      </c>
      <c r="H183" t="s">
        <v>58</v>
      </c>
      <c r="I183" t="s">
        <v>67</v>
      </c>
      <c r="J183" t="s">
        <v>60</v>
      </c>
      <c r="K183" t="s">
        <v>128</v>
      </c>
      <c r="L183" t="s">
        <v>129</v>
      </c>
      <c r="M183" s="4">
        <v>278.77999999999997</v>
      </c>
      <c r="N183">
        <v>4</v>
      </c>
      <c r="O183" s="5">
        <v>0</v>
      </c>
      <c r="P183" s="4">
        <v>1115.1099999999999</v>
      </c>
      <c r="Q183" s="4">
        <v>182.59</v>
      </c>
    </row>
    <row r="184" spans="1:17">
      <c r="A184" t="s">
        <v>313</v>
      </c>
      <c r="B184" s="3">
        <v>45998</v>
      </c>
      <c r="C184" s="3">
        <v>46005</v>
      </c>
      <c r="D184" t="s">
        <v>64</v>
      </c>
      <c r="E184" t="s">
        <v>65</v>
      </c>
      <c r="F184" t="s">
        <v>40</v>
      </c>
      <c r="G184" t="s">
        <v>57</v>
      </c>
      <c r="H184" t="s">
        <v>58</v>
      </c>
      <c r="I184" t="s">
        <v>91</v>
      </c>
      <c r="J184" t="s">
        <v>60</v>
      </c>
      <c r="K184" t="s">
        <v>61</v>
      </c>
      <c r="L184" t="s">
        <v>62</v>
      </c>
      <c r="M184" s="4">
        <v>61.72</v>
      </c>
      <c r="N184">
        <v>4</v>
      </c>
      <c r="O184" s="5">
        <v>0.2</v>
      </c>
      <c r="P184" s="4">
        <v>197.49</v>
      </c>
      <c r="Q184" s="4">
        <v>47.14</v>
      </c>
    </row>
    <row r="185" spans="1:17">
      <c r="A185" t="s">
        <v>314</v>
      </c>
      <c r="B185" s="3">
        <v>45946</v>
      </c>
      <c r="C185" s="3">
        <v>45947</v>
      </c>
      <c r="D185" t="s">
        <v>137</v>
      </c>
      <c r="E185" t="s">
        <v>138</v>
      </c>
      <c r="F185" t="s">
        <v>66</v>
      </c>
      <c r="G185" t="s">
        <v>41</v>
      </c>
      <c r="H185" t="s">
        <v>42</v>
      </c>
      <c r="I185" t="s">
        <v>101</v>
      </c>
      <c r="J185" t="s">
        <v>60</v>
      </c>
      <c r="K185" t="s">
        <v>128</v>
      </c>
      <c r="L185" t="s">
        <v>129</v>
      </c>
      <c r="M185" s="4">
        <v>282.67</v>
      </c>
      <c r="N185">
        <v>1</v>
      </c>
      <c r="O185" s="5">
        <v>0.2</v>
      </c>
      <c r="P185" s="4">
        <v>226.13</v>
      </c>
      <c r="Q185" s="4">
        <v>39.880000000000003</v>
      </c>
    </row>
    <row r="186" spans="1:17">
      <c r="A186" t="s">
        <v>315</v>
      </c>
      <c r="B186" s="3">
        <v>46006</v>
      </c>
      <c r="C186" s="3">
        <v>46008</v>
      </c>
      <c r="D186" t="s">
        <v>108</v>
      </c>
      <c r="E186" t="s">
        <v>109</v>
      </c>
      <c r="F186" t="s">
        <v>66</v>
      </c>
      <c r="G186" t="s">
        <v>85</v>
      </c>
      <c r="H186" t="s">
        <v>86</v>
      </c>
      <c r="I186" t="s">
        <v>95</v>
      </c>
      <c r="J186" t="s">
        <v>60</v>
      </c>
      <c r="K186" t="s">
        <v>61</v>
      </c>
      <c r="L186" t="s">
        <v>62</v>
      </c>
      <c r="M186" s="4">
        <v>70.19</v>
      </c>
      <c r="N186">
        <v>8</v>
      </c>
      <c r="O186" s="5">
        <v>0</v>
      </c>
      <c r="P186" s="4">
        <v>561.48</v>
      </c>
      <c r="Q186" s="4">
        <v>-18.64</v>
      </c>
    </row>
    <row r="187" spans="1:17">
      <c r="A187" t="s">
        <v>316</v>
      </c>
      <c r="B187" s="3">
        <v>46002</v>
      </c>
      <c r="C187" s="3">
        <v>46009</v>
      </c>
      <c r="D187" t="s">
        <v>83</v>
      </c>
      <c r="E187" t="s">
        <v>84</v>
      </c>
      <c r="F187" t="s">
        <v>40</v>
      </c>
      <c r="G187" t="s">
        <v>78</v>
      </c>
      <c r="H187" t="s">
        <v>79</v>
      </c>
      <c r="I187" t="s">
        <v>124</v>
      </c>
      <c r="J187" t="s">
        <v>51</v>
      </c>
      <c r="K187" t="s">
        <v>102</v>
      </c>
      <c r="L187" t="s">
        <v>103</v>
      </c>
      <c r="M187" s="4">
        <v>289.39</v>
      </c>
      <c r="N187">
        <v>5</v>
      </c>
      <c r="O187" s="5">
        <v>0.15</v>
      </c>
      <c r="P187" s="4">
        <v>1229.92</v>
      </c>
      <c r="Q187" s="4">
        <v>-51.4</v>
      </c>
    </row>
    <row r="188" spans="1:17">
      <c r="A188" t="s">
        <v>317</v>
      </c>
      <c r="B188" s="3">
        <v>45688</v>
      </c>
      <c r="C188" s="3">
        <v>45689</v>
      </c>
      <c r="D188" t="s">
        <v>64</v>
      </c>
      <c r="E188" t="s">
        <v>65</v>
      </c>
      <c r="F188" t="s">
        <v>66</v>
      </c>
      <c r="G188" t="s">
        <v>41</v>
      </c>
      <c r="H188" t="s">
        <v>42</v>
      </c>
      <c r="I188" t="s">
        <v>43</v>
      </c>
      <c r="J188" t="s">
        <v>44</v>
      </c>
      <c r="K188" t="s">
        <v>110</v>
      </c>
      <c r="L188" t="s">
        <v>111</v>
      </c>
      <c r="M188" s="4">
        <v>11.49</v>
      </c>
      <c r="N188">
        <v>8</v>
      </c>
      <c r="O188" s="5">
        <v>0</v>
      </c>
      <c r="P188" s="4">
        <v>91.91</v>
      </c>
      <c r="Q188" s="4">
        <v>8.73</v>
      </c>
    </row>
    <row r="189" spans="1:17">
      <c r="A189" t="s">
        <v>318</v>
      </c>
      <c r="B189" s="3">
        <v>45699</v>
      </c>
      <c r="C189" s="3">
        <v>45705</v>
      </c>
      <c r="D189" t="s">
        <v>154</v>
      </c>
      <c r="E189" t="s">
        <v>155</v>
      </c>
      <c r="F189" t="s">
        <v>66</v>
      </c>
      <c r="G189" t="s">
        <v>78</v>
      </c>
      <c r="H189" t="s">
        <v>79</v>
      </c>
      <c r="I189" t="s">
        <v>124</v>
      </c>
      <c r="J189" t="s">
        <v>44</v>
      </c>
      <c r="K189" t="s">
        <v>143</v>
      </c>
      <c r="L189" t="s">
        <v>144</v>
      </c>
      <c r="M189" s="4">
        <v>19.3</v>
      </c>
      <c r="N189">
        <v>3</v>
      </c>
      <c r="O189" s="5">
        <v>0.15</v>
      </c>
      <c r="P189" s="4">
        <v>49.21</v>
      </c>
      <c r="Q189" s="4">
        <v>3.92</v>
      </c>
    </row>
    <row r="190" spans="1:17">
      <c r="A190" t="s">
        <v>319</v>
      </c>
      <c r="B190" s="3">
        <v>45669</v>
      </c>
      <c r="C190" s="3">
        <v>45672</v>
      </c>
      <c r="D190" t="s">
        <v>221</v>
      </c>
      <c r="E190" t="s">
        <v>222</v>
      </c>
      <c r="F190" t="s">
        <v>50</v>
      </c>
      <c r="G190" t="s">
        <v>78</v>
      </c>
      <c r="H190" t="s">
        <v>79</v>
      </c>
      <c r="I190" t="s">
        <v>80</v>
      </c>
      <c r="J190" t="s">
        <v>60</v>
      </c>
      <c r="K190" t="s">
        <v>116</v>
      </c>
      <c r="L190" t="s">
        <v>117</v>
      </c>
      <c r="M190" s="4">
        <v>542.79</v>
      </c>
      <c r="N190">
        <v>8</v>
      </c>
      <c r="O190" s="5">
        <v>0.15</v>
      </c>
      <c r="P190" s="4">
        <v>3690.94</v>
      </c>
      <c r="Q190" s="4">
        <v>575.9</v>
      </c>
    </row>
    <row r="191" spans="1:17">
      <c r="A191" t="s">
        <v>320</v>
      </c>
      <c r="B191" s="3">
        <v>45754</v>
      </c>
      <c r="C191" s="3">
        <v>45760</v>
      </c>
      <c r="D191" t="s">
        <v>93</v>
      </c>
      <c r="E191" t="s">
        <v>94</v>
      </c>
      <c r="F191" t="s">
        <v>66</v>
      </c>
      <c r="G191" t="s">
        <v>85</v>
      </c>
      <c r="H191" t="s">
        <v>86</v>
      </c>
      <c r="I191" t="s">
        <v>95</v>
      </c>
      <c r="J191" t="s">
        <v>44</v>
      </c>
      <c r="K191" t="s">
        <v>45</v>
      </c>
      <c r="L191" t="s">
        <v>46</v>
      </c>
      <c r="M191" s="4">
        <v>8.5</v>
      </c>
      <c r="N191">
        <v>2</v>
      </c>
      <c r="O191" s="5">
        <v>0</v>
      </c>
      <c r="P191" s="4">
        <v>16.989999999999998</v>
      </c>
      <c r="Q191" s="4">
        <v>2.63</v>
      </c>
    </row>
    <row r="192" spans="1:17">
      <c r="A192" t="s">
        <v>321</v>
      </c>
      <c r="B192" s="3">
        <v>45675</v>
      </c>
      <c r="C192" s="3">
        <v>45679</v>
      </c>
      <c r="D192" t="s">
        <v>158</v>
      </c>
      <c r="E192" t="s">
        <v>159</v>
      </c>
      <c r="F192" t="s">
        <v>50</v>
      </c>
      <c r="G192" t="s">
        <v>41</v>
      </c>
      <c r="H192" t="s">
        <v>42</v>
      </c>
      <c r="I192" t="s">
        <v>43</v>
      </c>
      <c r="J192" t="s">
        <v>51</v>
      </c>
      <c r="K192" t="s">
        <v>125</v>
      </c>
      <c r="L192" t="s">
        <v>126</v>
      </c>
      <c r="M192" s="4">
        <v>890.89</v>
      </c>
      <c r="N192">
        <v>1</v>
      </c>
      <c r="O192" s="5">
        <v>0</v>
      </c>
      <c r="P192" s="4">
        <v>890.89</v>
      </c>
      <c r="Q192" s="4">
        <v>134.13999999999999</v>
      </c>
    </row>
    <row r="193" spans="1:17">
      <c r="A193" t="s">
        <v>322</v>
      </c>
      <c r="B193" s="3">
        <v>45952</v>
      </c>
      <c r="C193" s="3">
        <v>45955</v>
      </c>
      <c r="D193" t="s">
        <v>38</v>
      </c>
      <c r="E193" t="s">
        <v>39</v>
      </c>
      <c r="F193" t="s">
        <v>50</v>
      </c>
      <c r="G193" t="s">
        <v>85</v>
      </c>
      <c r="H193" t="s">
        <v>86</v>
      </c>
      <c r="I193" t="s">
        <v>95</v>
      </c>
      <c r="J193" t="s">
        <v>60</v>
      </c>
      <c r="K193" t="s">
        <v>128</v>
      </c>
      <c r="L193" t="s">
        <v>129</v>
      </c>
      <c r="M193" s="4">
        <v>268.89999999999998</v>
      </c>
      <c r="N193">
        <v>6</v>
      </c>
      <c r="O193" s="5">
        <v>0</v>
      </c>
      <c r="P193" s="4">
        <v>1613.39</v>
      </c>
      <c r="Q193" s="4">
        <v>138.44999999999999</v>
      </c>
    </row>
    <row r="194" spans="1:17">
      <c r="A194" t="s">
        <v>323</v>
      </c>
      <c r="B194" s="3">
        <v>45960</v>
      </c>
      <c r="C194" s="3">
        <v>45966</v>
      </c>
      <c r="D194" t="s">
        <v>64</v>
      </c>
      <c r="E194" t="s">
        <v>65</v>
      </c>
      <c r="F194" t="s">
        <v>66</v>
      </c>
      <c r="G194" t="s">
        <v>85</v>
      </c>
      <c r="H194" t="s">
        <v>86</v>
      </c>
      <c r="I194" t="s">
        <v>160</v>
      </c>
      <c r="J194" t="s">
        <v>44</v>
      </c>
      <c r="K194" t="s">
        <v>110</v>
      </c>
      <c r="L194" t="s">
        <v>111</v>
      </c>
      <c r="M194" s="4">
        <v>12.43</v>
      </c>
      <c r="N194">
        <v>3</v>
      </c>
      <c r="O194" s="5">
        <v>0.15</v>
      </c>
      <c r="P194" s="4">
        <v>31.69</v>
      </c>
      <c r="Q194" s="4">
        <v>-1.73</v>
      </c>
    </row>
    <row r="195" spans="1:17">
      <c r="A195" t="s">
        <v>324</v>
      </c>
      <c r="B195" s="3">
        <v>45734</v>
      </c>
      <c r="C195" s="3">
        <v>45737</v>
      </c>
      <c r="D195" t="s">
        <v>98</v>
      </c>
      <c r="E195" t="s">
        <v>99</v>
      </c>
      <c r="F195" t="s">
        <v>66</v>
      </c>
      <c r="G195" t="s">
        <v>78</v>
      </c>
      <c r="H195" t="s">
        <v>79</v>
      </c>
      <c r="I195" t="s">
        <v>80</v>
      </c>
      <c r="J195" t="s">
        <v>60</v>
      </c>
      <c r="K195" t="s">
        <v>61</v>
      </c>
      <c r="L195" t="s">
        <v>62</v>
      </c>
      <c r="M195" s="4">
        <v>68.31</v>
      </c>
      <c r="N195">
        <v>7</v>
      </c>
      <c r="O195" s="5">
        <v>0</v>
      </c>
      <c r="P195" s="4">
        <v>478.15</v>
      </c>
      <c r="Q195" s="4">
        <v>80.510000000000005</v>
      </c>
    </row>
    <row r="196" spans="1:17">
      <c r="A196" t="s">
        <v>325</v>
      </c>
      <c r="B196" s="3">
        <v>45869</v>
      </c>
      <c r="C196" s="3">
        <v>45873</v>
      </c>
      <c r="D196" t="s">
        <v>64</v>
      </c>
      <c r="E196" t="s">
        <v>65</v>
      </c>
      <c r="F196" t="s">
        <v>50</v>
      </c>
      <c r="G196" t="s">
        <v>57</v>
      </c>
      <c r="H196" t="s">
        <v>58</v>
      </c>
      <c r="I196" t="s">
        <v>67</v>
      </c>
      <c r="J196" t="s">
        <v>44</v>
      </c>
      <c r="K196" t="s">
        <v>110</v>
      </c>
      <c r="L196" t="s">
        <v>111</v>
      </c>
      <c r="M196" s="4">
        <v>11.38</v>
      </c>
      <c r="N196">
        <v>3</v>
      </c>
      <c r="O196" s="5">
        <v>0.05</v>
      </c>
      <c r="P196" s="4">
        <v>32.44</v>
      </c>
      <c r="Q196" s="4">
        <v>3.27</v>
      </c>
    </row>
    <row r="197" spans="1:17">
      <c r="A197" t="s">
        <v>326</v>
      </c>
      <c r="B197" s="3">
        <v>45795</v>
      </c>
      <c r="C197" s="3">
        <v>45799</v>
      </c>
      <c r="D197" t="s">
        <v>71</v>
      </c>
      <c r="E197" t="s">
        <v>72</v>
      </c>
      <c r="F197" t="s">
        <v>50</v>
      </c>
      <c r="G197" t="s">
        <v>78</v>
      </c>
      <c r="H197" t="s">
        <v>79</v>
      </c>
      <c r="I197" t="s">
        <v>124</v>
      </c>
      <c r="J197" t="s">
        <v>60</v>
      </c>
      <c r="K197" t="s">
        <v>116</v>
      </c>
      <c r="L197" t="s">
        <v>117</v>
      </c>
      <c r="M197" s="4">
        <v>475.57</v>
      </c>
      <c r="N197">
        <v>1</v>
      </c>
      <c r="O197" s="5">
        <v>0.2</v>
      </c>
      <c r="P197" s="4">
        <v>380.46</v>
      </c>
      <c r="Q197" s="4">
        <v>95.56</v>
      </c>
    </row>
    <row r="198" spans="1:17">
      <c r="A198" t="s">
        <v>327</v>
      </c>
      <c r="B198" s="3">
        <v>45766</v>
      </c>
      <c r="C198" s="3">
        <v>45768</v>
      </c>
      <c r="D198" t="s">
        <v>221</v>
      </c>
      <c r="E198" t="s">
        <v>222</v>
      </c>
      <c r="F198" t="s">
        <v>50</v>
      </c>
      <c r="G198" t="s">
        <v>85</v>
      </c>
      <c r="H198" t="s">
        <v>86</v>
      </c>
      <c r="I198" t="s">
        <v>160</v>
      </c>
      <c r="J198" t="s">
        <v>44</v>
      </c>
      <c r="K198" t="s">
        <v>165</v>
      </c>
      <c r="L198" t="s">
        <v>166</v>
      </c>
      <c r="M198" s="4">
        <v>16.5</v>
      </c>
      <c r="N198">
        <v>2</v>
      </c>
      <c r="O198" s="5">
        <v>0.15</v>
      </c>
      <c r="P198" s="4">
        <v>28.05</v>
      </c>
      <c r="Q198" s="4">
        <v>4.76</v>
      </c>
    </row>
    <row r="199" spans="1:17">
      <c r="A199" t="s">
        <v>328</v>
      </c>
      <c r="B199" s="3">
        <v>45852</v>
      </c>
      <c r="C199" s="3">
        <v>45856</v>
      </c>
      <c r="D199" t="s">
        <v>105</v>
      </c>
      <c r="E199" t="s">
        <v>106</v>
      </c>
      <c r="F199" t="s">
        <v>50</v>
      </c>
      <c r="G199" t="s">
        <v>85</v>
      </c>
      <c r="H199" t="s">
        <v>86</v>
      </c>
      <c r="I199" t="s">
        <v>160</v>
      </c>
      <c r="J199" t="s">
        <v>60</v>
      </c>
      <c r="K199" t="s">
        <v>128</v>
      </c>
      <c r="L199" t="s">
        <v>129</v>
      </c>
      <c r="M199" s="4">
        <v>266.64999999999998</v>
      </c>
      <c r="N199">
        <v>6</v>
      </c>
      <c r="O199" s="5">
        <v>0</v>
      </c>
      <c r="P199" s="4">
        <v>1599.88</v>
      </c>
      <c r="Q199" s="4">
        <v>285.11</v>
      </c>
    </row>
    <row r="200" spans="1:17">
      <c r="A200" t="s">
        <v>329</v>
      </c>
      <c r="B200" s="3">
        <v>45818</v>
      </c>
      <c r="C200" s="3">
        <v>45822</v>
      </c>
      <c r="D200" t="s">
        <v>76</v>
      </c>
      <c r="E200" t="s">
        <v>77</v>
      </c>
      <c r="F200" t="s">
        <v>66</v>
      </c>
      <c r="G200" t="s">
        <v>41</v>
      </c>
      <c r="H200" t="s">
        <v>42</v>
      </c>
      <c r="I200" t="s">
        <v>101</v>
      </c>
      <c r="J200" t="s">
        <v>44</v>
      </c>
      <c r="K200" t="s">
        <v>45</v>
      </c>
      <c r="L200" t="s">
        <v>46</v>
      </c>
      <c r="M200" s="4">
        <v>8.58</v>
      </c>
      <c r="N200">
        <v>1</v>
      </c>
      <c r="O200" s="5">
        <v>0.1</v>
      </c>
      <c r="P200" s="4">
        <v>7.72</v>
      </c>
      <c r="Q200" s="4">
        <v>-0.57999999999999996</v>
      </c>
    </row>
    <row r="201" spans="1:17">
      <c r="A201" t="s">
        <v>330</v>
      </c>
      <c r="B201" s="3">
        <v>45852</v>
      </c>
      <c r="C201" s="3">
        <v>45857</v>
      </c>
      <c r="D201" t="s">
        <v>38</v>
      </c>
      <c r="E201" t="s">
        <v>39</v>
      </c>
      <c r="F201" t="s">
        <v>50</v>
      </c>
      <c r="G201" t="s">
        <v>78</v>
      </c>
      <c r="H201" t="s">
        <v>79</v>
      </c>
      <c r="I201" t="s">
        <v>124</v>
      </c>
      <c r="J201" t="s">
        <v>51</v>
      </c>
      <c r="K201" t="s">
        <v>52</v>
      </c>
      <c r="L201" t="s">
        <v>81</v>
      </c>
      <c r="M201" s="4">
        <v>70.709999999999994</v>
      </c>
      <c r="N201">
        <v>4</v>
      </c>
      <c r="O201" s="5">
        <v>0.05</v>
      </c>
      <c r="P201" s="4">
        <v>268.69</v>
      </c>
      <c r="Q201" s="4">
        <v>76.81</v>
      </c>
    </row>
    <row r="202" spans="1:17">
      <c r="A202" t="s">
        <v>331</v>
      </c>
      <c r="B202" s="3">
        <v>45744</v>
      </c>
      <c r="C202" s="3">
        <v>45750</v>
      </c>
      <c r="D202" t="s">
        <v>83</v>
      </c>
      <c r="E202" t="s">
        <v>84</v>
      </c>
      <c r="F202" t="s">
        <v>40</v>
      </c>
      <c r="G202" t="s">
        <v>78</v>
      </c>
      <c r="H202" t="s">
        <v>79</v>
      </c>
      <c r="I202" t="s">
        <v>80</v>
      </c>
      <c r="J202" t="s">
        <v>60</v>
      </c>
      <c r="K202" t="s">
        <v>61</v>
      </c>
      <c r="L202" t="s">
        <v>62</v>
      </c>
      <c r="M202" s="4">
        <v>60.32</v>
      </c>
      <c r="N202">
        <v>6</v>
      </c>
      <c r="O202" s="5">
        <v>0</v>
      </c>
      <c r="P202" s="4">
        <v>361.92</v>
      </c>
      <c r="Q202" s="4">
        <v>67.55</v>
      </c>
    </row>
    <row r="203" spans="1:17">
      <c r="A203" t="s">
        <v>332</v>
      </c>
      <c r="B203" s="3">
        <v>45869</v>
      </c>
      <c r="C203" s="3">
        <v>45871</v>
      </c>
      <c r="D203" t="s">
        <v>221</v>
      </c>
      <c r="E203" t="s">
        <v>222</v>
      </c>
      <c r="F203" t="s">
        <v>50</v>
      </c>
      <c r="G203" t="s">
        <v>41</v>
      </c>
      <c r="H203" t="s">
        <v>42</v>
      </c>
      <c r="I203" t="s">
        <v>101</v>
      </c>
      <c r="J203" t="s">
        <v>51</v>
      </c>
      <c r="K203" t="s">
        <v>125</v>
      </c>
      <c r="L203" t="s">
        <v>126</v>
      </c>
      <c r="M203" s="4">
        <v>885.22</v>
      </c>
      <c r="N203">
        <v>4</v>
      </c>
      <c r="O203" s="5">
        <v>0</v>
      </c>
      <c r="P203" s="4">
        <v>3540.88</v>
      </c>
      <c r="Q203" s="4">
        <v>185.14</v>
      </c>
    </row>
    <row r="204" spans="1:17">
      <c r="A204" t="s">
        <v>333</v>
      </c>
      <c r="B204" s="3">
        <v>45995</v>
      </c>
      <c r="C204" s="3">
        <v>45999</v>
      </c>
      <c r="D204" t="s">
        <v>121</v>
      </c>
      <c r="E204" t="s">
        <v>122</v>
      </c>
      <c r="F204" t="s">
        <v>40</v>
      </c>
      <c r="G204" t="s">
        <v>57</v>
      </c>
      <c r="H204" t="s">
        <v>58</v>
      </c>
      <c r="I204" t="s">
        <v>59</v>
      </c>
      <c r="J204" t="s">
        <v>60</v>
      </c>
      <c r="K204" t="s">
        <v>61</v>
      </c>
      <c r="L204" t="s">
        <v>96</v>
      </c>
      <c r="M204" s="4">
        <v>90.58</v>
      </c>
      <c r="N204">
        <v>1</v>
      </c>
      <c r="O204" s="5">
        <v>0</v>
      </c>
      <c r="P204" s="4">
        <v>90.58</v>
      </c>
      <c r="Q204" s="4">
        <v>-8.35</v>
      </c>
    </row>
    <row r="205" spans="1:17">
      <c r="A205" t="s">
        <v>334</v>
      </c>
      <c r="B205" s="3">
        <v>45712</v>
      </c>
      <c r="C205" s="3">
        <v>45713</v>
      </c>
      <c r="D205" t="s">
        <v>132</v>
      </c>
      <c r="E205" t="s">
        <v>133</v>
      </c>
      <c r="F205" t="s">
        <v>40</v>
      </c>
      <c r="G205" t="s">
        <v>57</v>
      </c>
      <c r="H205" t="s">
        <v>58</v>
      </c>
      <c r="I205" t="s">
        <v>59</v>
      </c>
      <c r="J205" t="s">
        <v>60</v>
      </c>
      <c r="K205" t="s">
        <v>61</v>
      </c>
      <c r="L205" t="s">
        <v>62</v>
      </c>
      <c r="M205" s="4">
        <v>61</v>
      </c>
      <c r="N205">
        <v>3</v>
      </c>
      <c r="O205" s="5">
        <v>0</v>
      </c>
      <c r="P205" s="4">
        <v>182.99</v>
      </c>
      <c r="Q205" s="4">
        <v>33.229999999999997</v>
      </c>
    </row>
    <row r="206" spans="1:17">
      <c r="A206" t="s">
        <v>335</v>
      </c>
      <c r="B206" s="3">
        <v>45947</v>
      </c>
      <c r="C206" s="3">
        <v>45949</v>
      </c>
      <c r="D206" t="s">
        <v>83</v>
      </c>
      <c r="E206" t="s">
        <v>84</v>
      </c>
      <c r="F206" t="s">
        <v>50</v>
      </c>
      <c r="G206" t="s">
        <v>57</v>
      </c>
      <c r="H206" t="s">
        <v>58</v>
      </c>
      <c r="I206" t="s">
        <v>91</v>
      </c>
      <c r="J206" t="s">
        <v>44</v>
      </c>
      <c r="K206" t="s">
        <v>143</v>
      </c>
      <c r="L206" t="s">
        <v>144</v>
      </c>
      <c r="M206" s="4">
        <v>18.66</v>
      </c>
      <c r="N206">
        <v>4</v>
      </c>
      <c r="O206" s="5">
        <v>0</v>
      </c>
      <c r="P206" s="4">
        <v>74.650000000000006</v>
      </c>
      <c r="Q206" s="4">
        <v>19.559999999999999</v>
      </c>
    </row>
    <row r="207" spans="1:17">
      <c r="A207" t="s">
        <v>336</v>
      </c>
      <c r="B207" s="3">
        <v>45901</v>
      </c>
      <c r="C207" s="3">
        <v>45902</v>
      </c>
      <c r="D207" t="s">
        <v>64</v>
      </c>
      <c r="E207" t="s">
        <v>65</v>
      </c>
      <c r="F207" t="s">
        <v>66</v>
      </c>
      <c r="G207" t="s">
        <v>41</v>
      </c>
      <c r="H207" t="s">
        <v>42</v>
      </c>
      <c r="I207" t="s">
        <v>43</v>
      </c>
      <c r="J207" t="s">
        <v>44</v>
      </c>
      <c r="K207" t="s">
        <v>143</v>
      </c>
      <c r="L207" t="s">
        <v>144</v>
      </c>
      <c r="M207" s="4">
        <v>16.82</v>
      </c>
      <c r="N207">
        <v>1</v>
      </c>
      <c r="O207" s="5">
        <v>0.15</v>
      </c>
      <c r="P207" s="4">
        <v>14.29</v>
      </c>
      <c r="Q207" s="4">
        <v>2.5</v>
      </c>
    </row>
    <row r="208" spans="1:17">
      <c r="A208" t="s">
        <v>337</v>
      </c>
      <c r="B208" s="3">
        <v>45766</v>
      </c>
      <c r="C208" s="3">
        <v>45773</v>
      </c>
      <c r="D208" t="s">
        <v>38</v>
      </c>
      <c r="E208" t="s">
        <v>39</v>
      </c>
      <c r="F208" t="s">
        <v>50</v>
      </c>
      <c r="G208" t="s">
        <v>57</v>
      </c>
      <c r="H208" t="s">
        <v>58</v>
      </c>
      <c r="I208" t="s">
        <v>67</v>
      </c>
      <c r="J208" t="s">
        <v>60</v>
      </c>
      <c r="K208" t="s">
        <v>73</v>
      </c>
      <c r="L208" t="s">
        <v>74</v>
      </c>
      <c r="M208" s="4">
        <v>354.63</v>
      </c>
      <c r="N208">
        <v>8</v>
      </c>
      <c r="O208" s="5">
        <v>0</v>
      </c>
      <c r="P208" s="4">
        <v>2837.05</v>
      </c>
      <c r="Q208" s="4">
        <v>194.58</v>
      </c>
    </row>
    <row r="209" spans="1:17">
      <c r="A209" t="s">
        <v>338</v>
      </c>
      <c r="B209" s="3">
        <v>45731</v>
      </c>
      <c r="C209" s="3">
        <v>45738</v>
      </c>
      <c r="D209" t="s">
        <v>89</v>
      </c>
      <c r="E209" t="s">
        <v>90</v>
      </c>
      <c r="F209" t="s">
        <v>66</v>
      </c>
      <c r="G209" t="s">
        <v>41</v>
      </c>
      <c r="H209" t="s">
        <v>42</v>
      </c>
      <c r="I209" t="s">
        <v>43</v>
      </c>
      <c r="J209" t="s">
        <v>51</v>
      </c>
      <c r="K209" t="s">
        <v>52</v>
      </c>
      <c r="L209" t="s">
        <v>53</v>
      </c>
      <c r="M209" s="4">
        <v>43.19</v>
      </c>
      <c r="N209">
        <v>7</v>
      </c>
      <c r="O209" s="5">
        <v>0</v>
      </c>
      <c r="P209" s="4">
        <v>302.35000000000002</v>
      </c>
      <c r="Q209" s="4">
        <v>57.75</v>
      </c>
    </row>
    <row r="210" spans="1:17">
      <c r="A210" t="s">
        <v>339</v>
      </c>
      <c r="B210" s="3">
        <v>46010</v>
      </c>
      <c r="C210" s="3">
        <v>46016</v>
      </c>
      <c r="D210" t="s">
        <v>113</v>
      </c>
      <c r="E210" t="s">
        <v>114</v>
      </c>
      <c r="F210" t="s">
        <v>40</v>
      </c>
      <c r="G210" t="s">
        <v>78</v>
      </c>
      <c r="H210" t="s">
        <v>79</v>
      </c>
      <c r="I210" t="s">
        <v>80</v>
      </c>
      <c r="J210" t="s">
        <v>44</v>
      </c>
      <c r="K210" t="s">
        <v>143</v>
      </c>
      <c r="L210" t="s">
        <v>144</v>
      </c>
      <c r="M210" s="4">
        <v>18.88</v>
      </c>
      <c r="N210">
        <v>2</v>
      </c>
      <c r="O210" s="5">
        <v>0.1</v>
      </c>
      <c r="P210" s="4">
        <v>33.99</v>
      </c>
      <c r="Q210" s="4">
        <v>4.6399999999999997</v>
      </c>
    </row>
    <row r="211" spans="1:17">
      <c r="A211" t="s">
        <v>340</v>
      </c>
      <c r="B211" s="3">
        <v>45861</v>
      </c>
      <c r="C211" s="3">
        <v>45868</v>
      </c>
      <c r="D211" t="s">
        <v>158</v>
      </c>
      <c r="E211" t="s">
        <v>159</v>
      </c>
      <c r="F211" t="s">
        <v>66</v>
      </c>
      <c r="G211" t="s">
        <v>85</v>
      </c>
      <c r="H211" t="s">
        <v>86</v>
      </c>
      <c r="I211" t="s">
        <v>95</v>
      </c>
      <c r="J211" t="s">
        <v>60</v>
      </c>
      <c r="K211" t="s">
        <v>61</v>
      </c>
      <c r="L211" t="s">
        <v>96</v>
      </c>
      <c r="M211" s="4">
        <v>92.41</v>
      </c>
      <c r="N211">
        <v>6</v>
      </c>
      <c r="O211" s="5">
        <v>0</v>
      </c>
      <c r="P211" s="4">
        <v>554.49</v>
      </c>
      <c r="Q211" s="4">
        <v>136.34</v>
      </c>
    </row>
    <row r="212" spans="1:17">
      <c r="A212" t="s">
        <v>341</v>
      </c>
      <c r="B212" s="3">
        <v>46006</v>
      </c>
      <c r="C212" s="3">
        <v>46011</v>
      </c>
      <c r="D212" t="s">
        <v>132</v>
      </c>
      <c r="E212" t="s">
        <v>133</v>
      </c>
      <c r="F212" t="s">
        <v>40</v>
      </c>
      <c r="G212" t="s">
        <v>85</v>
      </c>
      <c r="H212" t="s">
        <v>86</v>
      </c>
      <c r="I212" t="s">
        <v>160</v>
      </c>
      <c r="J212" t="s">
        <v>44</v>
      </c>
      <c r="K212" t="s">
        <v>143</v>
      </c>
      <c r="L212" t="s">
        <v>144</v>
      </c>
      <c r="M212" s="4">
        <v>18.98</v>
      </c>
      <c r="N212">
        <v>7</v>
      </c>
      <c r="O212" s="5">
        <v>0</v>
      </c>
      <c r="P212" s="4">
        <v>132.86000000000001</v>
      </c>
      <c r="Q212" s="4">
        <v>16.45</v>
      </c>
    </row>
    <row r="213" spans="1:17">
      <c r="A213" t="s">
        <v>342</v>
      </c>
      <c r="B213" s="3">
        <v>45857</v>
      </c>
      <c r="C213" s="3">
        <v>45860</v>
      </c>
      <c r="D213" t="s">
        <v>113</v>
      </c>
      <c r="E213" t="s">
        <v>114</v>
      </c>
      <c r="F213" t="s">
        <v>66</v>
      </c>
      <c r="G213" t="s">
        <v>41</v>
      </c>
      <c r="H213" t="s">
        <v>42</v>
      </c>
      <c r="I213" t="s">
        <v>43</v>
      </c>
      <c r="J213" t="s">
        <v>51</v>
      </c>
      <c r="K213" t="s">
        <v>68</v>
      </c>
      <c r="L213" t="s">
        <v>69</v>
      </c>
      <c r="M213" s="4">
        <v>1331.54</v>
      </c>
      <c r="N213">
        <v>6</v>
      </c>
      <c r="O213" s="5">
        <v>0</v>
      </c>
      <c r="P213" s="4">
        <v>7989.25</v>
      </c>
      <c r="Q213" s="4">
        <v>2282.85</v>
      </c>
    </row>
    <row r="214" spans="1:17">
      <c r="A214" t="s">
        <v>343</v>
      </c>
      <c r="B214" s="3">
        <v>45887</v>
      </c>
      <c r="C214" s="3">
        <v>45892</v>
      </c>
      <c r="D214" t="s">
        <v>98</v>
      </c>
      <c r="E214" t="s">
        <v>99</v>
      </c>
      <c r="F214" t="s">
        <v>50</v>
      </c>
      <c r="G214" t="s">
        <v>57</v>
      </c>
      <c r="H214" t="s">
        <v>58</v>
      </c>
      <c r="I214" t="s">
        <v>59</v>
      </c>
      <c r="J214" t="s">
        <v>51</v>
      </c>
      <c r="K214" t="s">
        <v>52</v>
      </c>
      <c r="L214" t="s">
        <v>53</v>
      </c>
      <c r="M214" s="4">
        <v>40.74</v>
      </c>
      <c r="N214">
        <v>7</v>
      </c>
      <c r="O214" s="5">
        <v>0</v>
      </c>
      <c r="P214" s="4">
        <v>285.14999999999998</v>
      </c>
      <c r="Q214" s="4">
        <v>39.49</v>
      </c>
    </row>
    <row r="215" spans="1:17">
      <c r="A215" t="s">
        <v>344</v>
      </c>
      <c r="B215" s="3">
        <v>45701</v>
      </c>
      <c r="C215" s="3">
        <v>45707</v>
      </c>
      <c r="D215" t="s">
        <v>154</v>
      </c>
      <c r="E215" t="s">
        <v>155</v>
      </c>
      <c r="F215" t="s">
        <v>50</v>
      </c>
      <c r="G215" t="s">
        <v>57</v>
      </c>
      <c r="H215" t="s">
        <v>58</v>
      </c>
      <c r="I215" t="s">
        <v>91</v>
      </c>
      <c r="J215" t="s">
        <v>44</v>
      </c>
      <c r="K215" t="s">
        <v>143</v>
      </c>
      <c r="L215" t="s">
        <v>144</v>
      </c>
      <c r="M215" s="4">
        <v>18.079999999999998</v>
      </c>
      <c r="N215">
        <v>4</v>
      </c>
      <c r="O215" s="5">
        <v>0.1</v>
      </c>
      <c r="P215" s="4">
        <v>65.069999999999993</v>
      </c>
      <c r="Q215" s="4">
        <v>14.4</v>
      </c>
    </row>
    <row r="216" spans="1:17">
      <c r="A216" t="s">
        <v>345</v>
      </c>
      <c r="B216" s="3">
        <v>45743</v>
      </c>
      <c r="C216" s="3">
        <v>45747</v>
      </c>
      <c r="D216" t="s">
        <v>137</v>
      </c>
      <c r="E216" t="s">
        <v>138</v>
      </c>
      <c r="F216" t="s">
        <v>66</v>
      </c>
      <c r="G216" t="s">
        <v>57</v>
      </c>
      <c r="H216" t="s">
        <v>58</v>
      </c>
      <c r="I216" t="s">
        <v>91</v>
      </c>
      <c r="J216" t="s">
        <v>44</v>
      </c>
      <c r="K216" t="s">
        <v>45</v>
      </c>
      <c r="L216" t="s">
        <v>46</v>
      </c>
      <c r="M216" s="4">
        <v>7.68</v>
      </c>
      <c r="N216">
        <v>5</v>
      </c>
      <c r="O216" s="5">
        <v>0.05</v>
      </c>
      <c r="P216" s="4">
        <v>36.479999999999997</v>
      </c>
      <c r="Q216" s="4">
        <v>8.9600000000000009</v>
      </c>
    </row>
    <row r="217" spans="1:17">
      <c r="A217" t="s">
        <v>346</v>
      </c>
      <c r="B217" s="3">
        <v>45758</v>
      </c>
      <c r="C217" s="3">
        <v>45762</v>
      </c>
      <c r="D217" t="s">
        <v>158</v>
      </c>
      <c r="E217" t="s">
        <v>159</v>
      </c>
      <c r="F217" t="s">
        <v>40</v>
      </c>
      <c r="G217" t="s">
        <v>85</v>
      </c>
      <c r="H217" t="s">
        <v>86</v>
      </c>
      <c r="I217" t="s">
        <v>87</v>
      </c>
      <c r="J217" t="s">
        <v>44</v>
      </c>
      <c r="K217" t="s">
        <v>140</v>
      </c>
      <c r="L217" t="s">
        <v>141</v>
      </c>
      <c r="M217" s="4">
        <v>24.02</v>
      </c>
      <c r="N217">
        <v>2</v>
      </c>
      <c r="O217" s="5">
        <v>0</v>
      </c>
      <c r="P217" s="4">
        <v>48.05</v>
      </c>
      <c r="Q217" s="4">
        <v>13.8</v>
      </c>
    </row>
    <row r="218" spans="1:17">
      <c r="A218" t="s">
        <v>347</v>
      </c>
      <c r="B218" s="3">
        <v>45727</v>
      </c>
      <c r="C218" s="3">
        <v>45730</v>
      </c>
      <c r="D218" t="s">
        <v>158</v>
      </c>
      <c r="E218" t="s">
        <v>159</v>
      </c>
      <c r="F218" t="s">
        <v>66</v>
      </c>
      <c r="G218" t="s">
        <v>78</v>
      </c>
      <c r="H218" t="s">
        <v>79</v>
      </c>
      <c r="I218" t="s">
        <v>124</v>
      </c>
      <c r="J218" t="s">
        <v>44</v>
      </c>
      <c r="K218" t="s">
        <v>143</v>
      </c>
      <c r="L218" t="s">
        <v>144</v>
      </c>
      <c r="M218" s="4">
        <v>19.61</v>
      </c>
      <c r="N218">
        <v>6</v>
      </c>
      <c r="O218" s="5">
        <v>0.1</v>
      </c>
      <c r="P218" s="4">
        <v>105.9</v>
      </c>
      <c r="Q218" s="4">
        <v>10.61</v>
      </c>
    </row>
    <row r="219" spans="1:17">
      <c r="A219" t="s">
        <v>348</v>
      </c>
      <c r="B219" s="3">
        <v>45782</v>
      </c>
      <c r="C219" s="3">
        <v>45785</v>
      </c>
      <c r="D219" t="s">
        <v>89</v>
      </c>
      <c r="E219" t="s">
        <v>90</v>
      </c>
      <c r="F219" t="s">
        <v>66</v>
      </c>
      <c r="G219" t="s">
        <v>78</v>
      </c>
      <c r="H219" t="s">
        <v>79</v>
      </c>
      <c r="I219" t="s">
        <v>124</v>
      </c>
      <c r="J219" t="s">
        <v>60</v>
      </c>
      <c r="K219" t="s">
        <v>61</v>
      </c>
      <c r="L219" t="s">
        <v>62</v>
      </c>
      <c r="M219" s="4">
        <v>69.11</v>
      </c>
      <c r="N219">
        <v>7</v>
      </c>
      <c r="O219" s="5">
        <v>0</v>
      </c>
      <c r="P219" s="4">
        <v>483.8</v>
      </c>
      <c r="Q219" s="4">
        <v>71.72</v>
      </c>
    </row>
    <row r="220" spans="1:17">
      <c r="A220" t="s">
        <v>349</v>
      </c>
      <c r="B220" s="3">
        <v>45894</v>
      </c>
      <c r="C220" s="3">
        <v>45900</v>
      </c>
      <c r="D220" t="s">
        <v>221</v>
      </c>
      <c r="E220" t="s">
        <v>222</v>
      </c>
      <c r="F220" t="s">
        <v>40</v>
      </c>
      <c r="G220" t="s">
        <v>85</v>
      </c>
      <c r="H220" t="s">
        <v>86</v>
      </c>
      <c r="I220" t="s">
        <v>87</v>
      </c>
      <c r="J220" t="s">
        <v>51</v>
      </c>
      <c r="K220" t="s">
        <v>102</v>
      </c>
      <c r="L220" t="s">
        <v>103</v>
      </c>
      <c r="M220" s="4">
        <v>339.05</v>
      </c>
      <c r="N220">
        <v>4</v>
      </c>
      <c r="O220" s="5">
        <v>0.05</v>
      </c>
      <c r="P220" s="4">
        <v>1288.4000000000001</v>
      </c>
      <c r="Q220" s="4">
        <v>-135</v>
      </c>
    </row>
    <row r="221" spans="1:17">
      <c r="A221" t="s">
        <v>350</v>
      </c>
      <c r="B221" s="3">
        <v>45787</v>
      </c>
      <c r="C221" s="3">
        <v>45793</v>
      </c>
      <c r="D221" t="s">
        <v>38</v>
      </c>
      <c r="E221" t="s">
        <v>39</v>
      </c>
      <c r="F221" t="s">
        <v>66</v>
      </c>
      <c r="G221" t="s">
        <v>78</v>
      </c>
      <c r="H221" t="s">
        <v>79</v>
      </c>
      <c r="I221" t="s">
        <v>80</v>
      </c>
      <c r="J221" t="s">
        <v>51</v>
      </c>
      <c r="K221" t="s">
        <v>52</v>
      </c>
      <c r="L221" t="s">
        <v>81</v>
      </c>
      <c r="M221" s="4">
        <v>68.92</v>
      </c>
      <c r="N221">
        <v>3</v>
      </c>
      <c r="O221" s="5">
        <v>0.15</v>
      </c>
      <c r="P221" s="4">
        <v>175.76</v>
      </c>
      <c r="Q221" s="4">
        <v>25.35</v>
      </c>
    </row>
    <row r="222" spans="1:17">
      <c r="A222" t="s">
        <v>351</v>
      </c>
      <c r="B222" s="3">
        <v>45936</v>
      </c>
      <c r="C222" s="3">
        <v>45937</v>
      </c>
      <c r="D222" t="s">
        <v>98</v>
      </c>
      <c r="E222" t="s">
        <v>99</v>
      </c>
      <c r="F222" t="s">
        <v>66</v>
      </c>
      <c r="G222" t="s">
        <v>78</v>
      </c>
      <c r="H222" t="s">
        <v>79</v>
      </c>
      <c r="I222" t="s">
        <v>80</v>
      </c>
      <c r="J222" t="s">
        <v>60</v>
      </c>
      <c r="K222" t="s">
        <v>61</v>
      </c>
      <c r="L222" t="s">
        <v>96</v>
      </c>
      <c r="M222" s="4">
        <v>97.12</v>
      </c>
      <c r="N222">
        <v>6</v>
      </c>
      <c r="O222" s="5">
        <v>0.15</v>
      </c>
      <c r="P222" s="4">
        <v>495.31</v>
      </c>
      <c r="Q222" s="4">
        <v>91.25</v>
      </c>
    </row>
    <row r="223" spans="1:17">
      <c r="A223" t="s">
        <v>352</v>
      </c>
      <c r="B223" s="3">
        <v>45989</v>
      </c>
      <c r="C223" s="3">
        <v>45994</v>
      </c>
      <c r="D223" t="s">
        <v>132</v>
      </c>
      <c r="E223" t="s">
        <v>133</v>
      </c>
      <c r="F223" t="s">
        <v>50</v>
      </c>
      <c r="G223" t="s">
        <v>41</v>
      </c>
      <c r="H223" t="s">
        <v>42</v>
      </c>
      <c r="I223" t="s">
        <v>43</v>
      </c>
      <c r="J223" t="s">
        <v>60</v>
      </c>
      <c r="K223" t="s">
        <v>128</v>
      </c>
      <c r="L223" t="s">
        <v>129</v>
      </c>
      <c r="M223" s="4">
        <v>307.08</v>
      </c>
      <c r="N223">
        <v>1</v>
      </c>
      <c r="O223" s="5">
        <v>0.1</v>
      </c>
      <c r="P223" s="4">
        <v>276.37</v>
      </c>
      <c r="Q223" s="4">
        <v>60.63</v>
      </c>
    </row>
    <row r="224" spans="1:17">
      <c r="A224" t="s">
        <v>353</v>
      </c>
      <c r="B224" s="3">
        <v>45771</v>
      </c>
      <c r="C224" s="3">
        <v>45776</v>
      </c>
      <c r="D224" t="s">
        <v>93</v>
      </c>
      <c r="E224" t="s">
        <v>94</v>
      </c>
      <c r="F224" t="s">
        <v>50</v>
      </c>
      <c r="G224" t="s">
        <v>57</v>
      </c>
      <c r="H224" t="s">
        <v>58</v>
      </c>
      <c r="I224" t="s">
        <v>91</v>
      </c>
      <c r="J224" t="s">
        <v>51</v>
      </c>
      <c r="K224" t="s">
        <v>125</v>
      </c>
      <c r="L224" t="s">
        <v>126</v>
      </c>
      <c r="M224" s="4">
        <v>828.6</v>
      </c>
      <c r="N224">
        <v>4</v>
      </c>
      <c r="O224" s="5">
        <v>0.05</v>
      </c>
      <c r="P224" s="4">
        <v>3148.68</v>
      </c>
      <c r="Q224" s="4">
        <v>521.94000000000005</v>
      </c>
    </row>
    <row r="225" spans="1:17">
      <c r="A225" t="s">
        <v>354</v>
      </c>
      <c r="B225" s="3">
        <v>45870</v>
      </c>
      <c r="C225" s="3">
        <v>45871</v>
      </c>
      <c r="D225" t="s">
        <v>105</v>
      </c>
      <c r="E225" t="s">
        <v>106</v>
      </c>
      <c r="F225" t="s">
        <v>50</v>
      </c>
      <c r="G225" t="s">
        <v>85</v>
      </c>
      <c r="H225" t="s">
        <v>86</v>
      </c>
      <c r="I225" t="s">
        <v>160</v>
      </c>
      <c r="J225" t="s">
        <v>44</v>
      </c>
      <c r="K225" t="s">
        <v>110</v>
      </c>
      <c r="L225" t="s">
        <v>111</v>
      </c>
      <c r="M225" s="4">
        <v>13.06</v>
      </c>
      <c r="N225">
        <v>2</v>
      </c>
      <c r="O225" s="5">
        <v>0.2</v>
      </c>
      <c r="P225" s="4">
        <v>20.89</v>
      </c>
      <c r="Q225" s="4">
        <v>1.78</v>
      </c>
    </row>
    <row r="226" spans="1:17">
      <c r="A226" t="s">
        <v>355</v>
      </c>
      <c r="B226" s="3">
        <v>45707</v>
      </c>
      <c r="C226" s="3">
        <v>45711</v>
      </c>
      <c r="D226" t="s">
        <v>121</v>
      </c>
      <c r="E226" t="s">
        <v>122</v>
      </c>
      <c r="F226" t="s">
        <v>40</v>
      </c>
      <c r="G226" t="s">
        <v>78</v>
      </c>
      <c r="H226" t="s">
        <v>79</v>
      </c>
      <c r="I226" t="s">
        <v>135</v>
      </c>
      <c r="J226" t="s">
        <v>44</v>
      </c>
      <c r="K226" t="s">
        <v>165</v>
      </c>
      <c r="L226" t="s">
        <v>166</v>
      </c>
      <c r="M226" s="4">
        <v>13.7</v>
      </c>
      <c r="N226">
        <v>8</v>
      </c>
      <c r="O226" s="5">
        <v>0</v>
      </c>
      <c r="P226" s="4">
        <v>109.61</v>
      </c>
      <c r="Q226" s="4">
        <v>6.7</v>
      </c>
    </row>
    <row r="227" spans="1:17">
      <c r="A227" t="s">
        <v>356</v>
      </c>
      <c r="B227" s="3">
        <v>45922</v>
      </c>
      <c r="C227" s="3">
        <v>45924</v>
      </c>
      <c r="D227" t="s">
        <v>38</v>
      </c>
      <c r="E227" t="s">
        <v>39</v>
      </c>
      <c r="F227" t="s">
        <v>40</v>
      </c>
      <c r="G227" t="s">
        <v>41</v>
      </c>
      <c r="H227" t="s">
        <v>42</v>
      </c>
      <c r="I227" t="s">
        <v>119</v>
      </c>
      <c r="J227" t="s">
        <v>51</v>
      </c>
      <c r="K227" t="s">
        <v>52</v>
      </c>
      <c r="L227" t="s">
        <v>53</v>
      </c>
      <c r="M227" s="4">
        <v>45.54</v>
      </c>
      <c r="N227">
        <v>3</v>
      </c>
      <c r="O227" s="5">
        <v>0</v>
      </c>
      <c r="P227" s="4">
        <v>136.62</v>
      </c>
      <c r="Q227" s="4">
        <v>39.57</v>
      </c>
    </row>
    <row r="228" spans="1:17">
      <c r="A228" t="s">
        <v>357</v>
      </c>
      <c r="B228" s="3">
        <v>45672</v>
      </c>
      <c r="C228" s="3">
        <v>45678</v>
      </c>
      <c r="D228" t="s">
        <v>154</v>
      </c>
      <c r="E228" t="s">
        <v>155</v>
      </c>
      <c r="F228" t="s">
        <v>50</v>
      </c>
      <c r="G228" t="s">
        <v>78</v>
      </c>
      <c r="H228" t="s">
        <v>79</v>
      </c>
      <c r="I228" t="s">
        <v>80</v>
      </c>
      <c r="J228" t="s">
        <v>51</v>
      </c>
      <c r="K228" t="s">
        <v>68</v>
      </c>
      <c r="L228" t="s">
        <v>69</v>
      </c>
      <c r="M228" s="4">
        <v>1476.74</v>
      </c>
      <c r="N228">
        <v>4</v>
      </c>
      <c r="O228" s="5">
        <v>0.05</v>
      </c>
      <c r="P228" s="4">
        <v>5611.61</v>
      </c>
      <c r="Q228" s="4">
        <v>826.08</v>
      </c>
    </row>
    <row r="229" spans="1:17">
      <c r="A229" t="s">
        <v>358</v>
      </c>
      <c r="B229" s="3">
        <v>45932</v>
      </c>
      <c r="C229" s="3">
        <v>45934</v>
      </c>
      <c r="D229" t="s">
        <v>108</v>
      </c>
      <c r="E229" t="s">
        <v>109</v>
      </c>
      <c r="F229" t="s">
        <v>40</v>
      </c>
      <c r="G229" t="s">
        <v>85</v>
      </c>
      <c r="H229" t="s">
        <v>86</v>
      </c>
      <c r="I229" t="s">
        <v>160</v>
      </c>
      <c r="J229" t="s">
        <v>51</v>
      </c>
      <c r="K229" t="s">
        <v>102</v>
      </c>
      <c r="L229" t="s">
        <v>103</v>
      </c>
      <c r="M229" s="4">
        <v>300.61</v>
      </c>
      <c r="N229">
        <v>6</v>
      </c>
      <c r="O229" s="5">
        <v>0</v>
      </c>
      <c r="P229" s="4">
        <v>1803.68</v>
      </c>
      <c r="Q229" s="4">
        <v>141.57</v>
      </c>
    </row>
    <row r="230" spans="1:17">
      <c r="A230" t="s">
        <v>359</v>
      </c>
      <c r="B230" s="3">
        <v>45970</v>
      </c>
      <c r="C230" s="3">
        <v>45974</v>
      </c>
      <c r="D230" t="s">
        <v>154</v>
      </c>
      <c r="E230" t="s">
        <v>155</v>
      </c>
      <c r="F230" t="s">
        <v>40</v>
      </c>
      <c r="G230" t="s">
        <v>78</v>
      </c>
      <c r="H230" t="s">
        <v>79</v>
      </c>
      <c r="I230" t="s">
        <v>80</v>
      </c>
      <c r="J230" t="s">
        <v>44</v>
      </c>
      <c r="K230" t="s">
        <v>140</v>
      </c>
      <c r="L230" t="s">
        <v>141</v>
      </c>
      <c r="M230" s="4">
        <v>24.26</v>
      </c>
      <c r="N230">
        <v>2</v>
      </c>
      <c r="O230" s="5">
        <v>0</v>
      </c>
      <c r="P230" s="4">
        <v>48.52</v>
      </c>
      <c r="Q230" s="4">
        <v>7.98</v>
      </c>
    </row>
    <row r="231" spans="1:17">
      <c r="A231" t="s">
        <v>360</v>
      </c>
      <c r="B231" s="3">
        <v>45718</v>
      </c>
      <c r="C231" s="3">
        <v>45720</v>
      </c>
      <c r="D231" t="s">
        <v>55</v>
      </c>
      <c r="E231" t="s">
        <v>56</v>
      </c>
      <c r="F231" t="s">
        <v>40</v>
      </c>
      <c r="G231" t="s">
        <v>57</v>
      </c>
      <c r="H231" t="s">
        <v>58</v>
      </c>
      <c r="I231" t="s">
        <v>67</v>
      </c>
      <c r="J231" t="s">
        <v>51</v>
      </c>
      <c r="K231" t="s">
        <v>52</v>
      </c>
      <c r="L231" t="s">
        <v>53</v>
      </c>
      <c r="M231" s="4">
        <v>42.15</v>
      </c>
      <c r="N231">
        <v>5</v>
      </c>
      <c r="O231" s="5">
        <v>0</v>
      </c>
      <c r="P231" s="4">
        <v>210.74</v>
      </c>
      <c r="Q231" s="4">
        <v>47.07</v>
      </c>
    </row>
    <row r="232" spans="1:17">
      <c r="A232" t="s">
        <v>361</v>
      </c>
      <c r="B232" s="3">
        <v>45753</v>
      </c>
      <c r="C232" s="3">
        <v>45757</v>
      </c>
      <c r="D232" t="s">
        <v>98</v>
      </c>
      <c r="E232" t="s">
        <v>99</v>
      </c>
      <c r="F232" t="s">
        <v>50</v>
      </c>
      <c r="G232" t="s">
        <v>78</v>
      </c>
      <c r="H232" t="s">
        <v>79</v>
      </c>
      <c r="I232" t="s">
        <v>80</v>
      </c>
      <c r="J232" t="s">
        <v>60</v>
      </c>
      <c r="K232" t="s">
        <v>61</v>
      </c>
      <c r="L232" t="s">
        <v>62</v>
      </c>
      <c r="M232" s="4">
        <v>60.67</v>
      </c>
      <c r="N232">
        <v>3</v>
      </c>
      <c r="O232" s="5">
        <v>0.1</v>
      </c>
      <c r="P232" s="4">
        <v>163.81</v>
      </c>
      <c r="Q232" s="4">
        <v>20.02</v>
      </c>
    </row>
    <row r="233" spans="1:17">
      <c r="A233" t="s">
        <v>362</v>
      </c>
      <c r="B233" s="3">
        <v>45727</v>
      </c>
      <c r="C233" s="3">
        <v>45729</v>
      </c>
      <c r="D233" t="s">
        <v>121</v>
      </c>
      <c r="E233" t="s">
        <v>122</v>
      </c>
      <c r="F233" t="s">
        <v>50</v>
      </c>
      <c r="G233" t="s">
        <v>78</v>
      </c>
      <c r="H233" t="s">
        <v>79</v>
      </c>
      <c r="I233" t="s">
        <v>80</v>
      </c>
      <c r="J233" t="s">
        <v>44</v>
      </c>
      <c r="K233" t="s">
        <v>110</v>
      </c>
      <c r="L233" t="s">
        <v>111</v>
      </c>
      <c r="M233" s="4">
        <v>12.01</v>
      </c>
      <c r="N233">
        <v>7</v>
      </c>
      <c r="O233" s="5">
        <v>0.1</v>
      </c>
      <c r="P233" s="4">
        <v>75.680000000000007</v>
      </c>
      <c r="Q233" s="4">
        <v>13.15</v>
      </c>
    </row>
    <row r="234" spans="1:17">
      <c r="A234" t="s">
        <v>363</v>
      </c>
      <c r="B234" s="3">
        <v>45947</v>
      </c>
      <c r="C234" s="3">
        <v>45948</v>
      </c>
      <c r="D234" t="s">
        <v>137</v>
      </c>
      <c r="E234" t="s">
        <v>138</v>
      </c>
      <c r="F234" t="s">
        <v>66</v>
      </c>
      <c r="G234" t="s">
        <v>78</v>
      </c>
      <c r="H234" t="s">
        <v>79</v>
      </c>
      <c r="I234" t="s">
        <v>80</v>
      </c>
      <c r="J234" t="s">
        <v>44</v>
      </c>
      <c r="K234" t="s">
        <v>45</v>
      </c>
      <c r="L234" t="s">
        <v>46</v>
      </c>
      <c r="M234" s="4">
        <v>7.25</v>
      </c>
      <c r="N234">
        <v>4</v>
      </c>
      <c r="O234" s="5">
        <v>0</v>
      </c>
      <c r="P234" s="4">
        <v>29.01</v>
      </c>
      <c r="Q234" s="4">
        <v>3.08</v>
      </c>
    </row>
    <row r="235" spans="1:17">
      <c r="A235" t="s">
        <v>364</v>
      </c>
      <c r="B235" s="3">
        <v>45715</v>
      </c>
      <c r="C235" s="3">
        <v>45720</v>
      </c>
      <c r="D235" t="s">
        <v>48</v>
      </c>
      <c r="E235" t="s">
        <v>49</v>
      </c>
      <c r="F235" t="s">
        <v>40</v>
      </c>
      <c r="G235" t="s">
        <v>78</v>
      </c>
      <c r="H235" t="s">
        <v>79</v>
      </c>
      <c r="I235" t="s">
        <v>80</v>
      </c>
      <c r="J235" t="s">
        <v>44</v>
      </c>
      <c r="K235" t="s">
        <v>140</v>
      </c>
      <c r="L235" t="s">
        <v>141</v>
      </c>
      <c r="M235" s="4">
        <v>26.38</v>
      </c>
      <c r="N235">
        <v>2</v>
      </c>
      <c r="O235" s="5">
        <v>0</v>
      </c>
      <c r="P235" s="4">
        <v>52.75</v>
      </c>
      <c r="Q235" s="4">
        <v>13.49</v>
      </c>
    </row>
    <row r="236" spans="1:17">
      <c r="A236" t="s">
        <v>365</v>
      </c>
      <c r="B236" s="3">
        <v>45710</v>
      </c>
      <c r="C236" s="3">
        <v>45716</v>
      </c>
      <c r="D236" t="s">
        <v>98</v>
      </c>
      <c r="E236" t="s">
        <v>99</v>
      </c>
      <c r="F236" t="s">
        <v>66</v>
      </c>
      <c r="G236" t="s">
        <v>41</v>
      </c>
      <c r="H236" t="s">
        <v>42</v>
      </c>
      <c r="I236" t="s">
        <v>101</v>
      </c>
      <c r="J236" t="s">
        <v>60</v>
      </c>
      <c r="K236" t="s">
        <v>116</v>
      </c>
      <c r="L236" t="s">
        <v>117</v>
      </c>
      <c r="M236" s="4">
        <v>558.98</v>
      </c>
      <c r="N236">
        <v>4</v>
      </c>
      <c r="O236" s="5">
        <v>0</v>
      </c>
      <c r="P236" s="4">
        <v>2235.92</v>
      </c>
      <c r="Q236" s="4">
        <v>129.81</v>
      </c>
    </row>
    <row r="237" spans="1:17">
      <c r="A237" t="s">
        <v>366</v>
      </c>
      <c r="B237" s="3">
        <v>46010</v>
      </c>
      <c r="C237" s="3">
        <v>46013</v>
      </c>
      <c r="D237" t="s">
        <v>89</v>
      </c>
      <c r="E237" t="s">
        <v>90</v>
      </c>
      <c r="F237" t="s">
        <v>50</v>
      </c>
      <c r="G237" t="s">
        <v>41</v>
      </c>
      <c r="H237" t="s">
        <v>42</v>
      </c>
      <c r="I237" t="s">
        <v>119</v>
      </c>
      <c r="J237" t="s">
        <v>51</v>
      </c>
      <c r="K237" t="s">
        <v>52</v>
      </c>
      <c r="L237" t="s">
        <v>53</v>
      </c>
      <c r="M237" s="4">
        <v>46.05</v>
      </c>
      <c r="N237">
        <v>7</v>
      </c>
      <c r="O237" s="5">
        <v>0</v>
      </c>
      <c r="P237" s="4">
        <v>322.32</v>
      </c>
      <c r="Q237" s="4">
        <v>79.36</v>
      </c>
    </row>
    <row r="238" spans="1:17">
      <c r="A238" t="s">
        <v>367</v>
      </c>
      <c r="B238" s="3">
        <v>45933</v>
      </c>
      <c r="C238" s="3">
        <v>45935</v>
      </c>
      <c r="D238" t="s">
        <v>158</v>
      </c>
      <c r="E238" t="s">
        <v>159</v>
      </c>
      <c r="F238" t="s">
        <v>66</v>
      </c>
      <c r="G238" t="s">
        <v>41</v>
      </c>
      <c r="H238" t="s">
        <v>42</v>
      </c>
      <c r="I238" t="s">
        <v>101</v>
      </c>
      <c r="J238" t="s">
        <v>60</v>
      </c>
      <c r="K238" t="s">
        <v>128</v>
      </c>
      <c r="L238" t="s">
        <v>129</v>
      </c>
      <c r="M238" s="4">
        <v>268.39</v>
      </c>
      <c r="N238">
        <v>6</v>
      </c>
      <c r="O238" s="5">
        <v>0.15</v>
      </c>
      <c r="P238" s="4">
        <v>1368.78</v>
      </c>
      <c r="Q238" s="4">
        <v>264.43</v>
      </c>
    </row>
    <row r="239" spans="1:17">
      <c r="A239" t="s">
        <v>368</v>
      </c>
      <c r="B239" s="3">
        <v>46017</v>
      </c>
      <c r="C239" s="3">
        <v>46024</v>
      </c>
      <c r="D239" t="s">
        <v>113</v>
      </c>
      <c r="E239" t="s">
        <v>114</v>
      </c>
      <c r="F239" t="s">
        <v>66</v>
      </c>
      <c r="G239" t="s">
        <v>41</v>
      </c>
      <c r="H239" t="s">
        <v>42</v>
      </c>
      <c r="I239" t="s">
        <v>43</v>
      </c>
      <c r="J239" t="s">
        <v>51</v>
      </c>
      <c r="K239" t="s">
        <v>52</v>
      </c>
      <c r="L239" t="s">
        <v>81</v>
      </c>
      <c r="M239" s="4">
        <v>65.05</v>
      </c>
      <c r="N239">
        <v>3</v>
      </c>
      <c r="O239" s="5">
        <v>0</v>
      </c>
      <c r="P239" s="4">
        <v>195.14</v>
      </c>
      <c r="Q239" s="4">
        <v>25.47</v>
      </c>
    </row>
    <row r="240" spans="1:17">
      <c r="A240" t="s">
        <v>369</v>
      </c>
      <c r="B240" s="3">
        <v>45850</v>
      </c>
      <c r="C240" s="3">
        <v>45854</v>
      </c>
      <c r="D240" t="s">
        <v>98</v>
      </c>
      <c r="E240" t="s">
        <v>99</v>
      </c>
      <c r="F240" t="s">
        <v>50</v>
      </c>
      <c r="G240" t="s">
        <v>78</v>
      </c>
      <c r="H240" t="s">
        <v>79</v>
      </c>
      <c r="I240" t="s">
        <v>124</v>
      </c>
      <c r="J240" t="s">
        <v>60</v>
      </c>
      <c r="K240" t="s">
        <v>128</v>
      </c>
      <c r="L240" t="s">
        <v>129</v>
      </c>
      <c r="M240" s="4">
        <v>296.5</v>
      </c>
      <c r="N240">
        <v>2</v>
      </c>
      <c r="O240" s="5">
        <v>0.15</v>
      </c>
      <c r="P240" s="4">
        <v>504.05</v>
      </c>
      <c r="Q240" s="4">
        <v>122.09</v>
      </c>
    </row>
    <row r="241" spans="1:17">
      <c r="A241" t="s">
        <v>370</v>
      </c>
      <c r="B241" s="3">
        <v>45955</v>
      </c>
      <c r="C241" s="3">
        <v>45956</v>
      </c>
      <c r="D241" t="s">
        <v>55</v>
      </c>
      <c r="E241" t="s">
        <v>56</v>
      </c>
      <c r="F241" t="s">
        <v>66</v>
      </c>
      <c r="G241" t="s">
        <v>57</v>
      </c>
      <c r="H241" t="s">
        <v>58</v>
      </c>
      <c r="I241" t="s">
        <v>67</v>
      </c>
      <c r="J241" t="s">
        <v>44</v>
      </c>
      <c r="K241" t="s">
        <v>143</v>
      </c>
      <c r="L241" t="s">
        <v>144</v>
      </c>
      <c r="M241" s="4">
        <v>19.7</v>
      </c>
      <c r="N241">
        <v>2</v>
      </c>
      <c r="O241" s="5">
        <v>0.15</v>
      </c>
      <c r="P241" s="4">
        <v>33.49</v>
      </c>
      <c r="Q241" s="4">
        <v>6.99</v>
      </c>
    </row>
    <row r="242" spans="1:17">
      <c r="A242" t="s">
        <v>371</v>
      </c>
      <c r="B242" s="3">
        <v>45911</v>
      </c>
      <c r="C242" s="3">
        <v>45914</v>
      </c>
      <c r="D242" t="s">
        <v>163</v>
      </c>
      <c r="E242" t="s">
        <v>164</v>
      </c>
      <c r="F242" t="s">
        <v>66</v>
      </c>
      <c r="G242" t="s">
        <v>41</v>
      </c>
      <c r="H242" t="s">
        <v>42</v>
      </c>
      <c r="I242" t="s">
        <v>101</v>
      </c>
      <c r="J242" t="s">
        <v>51</v>
      </c>
      <c r="K242" t="s">
        <v>68</v>
      </c>
      <c r="L242" t="s">
        <v>69</v>
      </c>
      <c r="M242" s="4">
        <v>1387.24</v>
      </c>
      <c r="N242">
        <v>6</v>
      </c>
      <c r="O242" s="5">
        <v>0.2</v>
      </c>
      <c r="P242" s="4">
        <v>6658.76</v>
      </c>
      <c r="Q242" s="4">
        <v>1244.04</v>
      </c>
    </row>
    <row r="243" spans="1:17">
      <c r="A243" t="s">
        <v>372</v>
      </c>
      <c r="B243" s="3">
        <v>45978</v>
      </c>
      <c r="C243" s="3">
        <v>45985</v>
      </c>
      <c r="D243" t="s">
        <v>108</v>
      </c>
      <c r="E243" t="s">
        <v>109</v>
      </c>
      <c r="F243" t="s">
        <v>40</v>
      </c>
      <c r="G243" t="s">
        <v>78</v>
      </c>
      <c r="H243" t="s">
        <v>79</v>
      </c>
      <c r="I243" t="s">
        <v>124</v>
      </c>
      <c r="J243" t="s">
        <v>51</v>
      </c>
      <c r="K243" t="s">
        <v>125</v>
      </c>
      <c r="L243" t="s">
        <v>126</v>
      </c>
      <c r="M243" s="4">
        <v>786.12</v>
      </c>
      <c r="N243">
        <v>8</v>
      </c>
      <c r="O243" s="5">
        <v>0</v>
      </c>
      <c r="P243" s="4">
        <v>6288.96</v>
      </c>
      <c r="Q243" s="4">
        <v>1662.88</v>
      </c>
    </row>
    <row r="244" spans="1:17">
      <c r="A244" t="s">
        <v>373</v>
      </c>
      <c r="B244" s="3">
        <v>45739</v>
      </c>
      <c r="C244" s="3">
        <v>45746</v>
      </c>
      <c r="D244" t="s">
        <v>105</v>
      </c>
      <c r="E244" t="s">
        <v>106</v>
      </c>
      <c r="F244" t="s">
        <v>50</v>
      </c>
      <c r="G244" t="s">
        <v>41</v>
      </c>
      <c r="H244" t="s">
        <v>42</v>
      </c>
      <c r="I244" t="s">
        <v>119</v>
      </c>
      <c r="J244" t="s">
        <v>60</v>
      </c>
      <c r="K244" t="s">
        <v>116</v>
      </c>
      <c r="L244" t="s">
        <v>117</v>
      </c>
      <c r="M244" s="4">
        <v>536.08000000000004</v>
      </c>
      <c r="N244">
        <v>5</v>
      </c>
      <c r="O244" s="5">
        <v>0</v>
      </c>
      <c r="P244" s="4">
        <v>2680.39</v>
      </c>
      <c r="Q244" s="4">
        <v>301.8</v>
      </c>
    </row>
    <row r="245" spans="1:17">
      <c r="A245" t="s">
        <v>374</v>
      </c>
      <c r="B245" s="3">
        <v>45877</v>
      </c>
      <c r="C245" s="3">
        <v>45883</v>
      </c>
      <c r="D245" t="s">
        <v>38</v>
      </c>
      <c r="E245" t="s">
        <v>39</v>
      </c>
      <c r="F245" t="s">
        <v>66</v>
      </c>
      <c r="G245" t="s">
        <v>85</v>
      </c>
      <c r="H245" t="s">
        <v>86</v>
      </c>
      <c r="I245" t="s">
        <v>95</v>
      </c>
      <c r="J245" t="s">
        <v>60</v>
      </c>
      <c r="K245" t="s">
        <v>128</v>
      </c>
      <c r="L245" t="s">
        <v>129</v>
      </c>
      <c r="M245" s="4">
        <v>257.33</v>
      </c>
      <c r="N245">
        <v>2</v>
      </c>
      <c r="O245" s="5">
        <v>0.15</v>
      </c>
      <c r="P245" s="4">
        <v>437.46</v>
      </c>
      <c r="Q245" s="4">
        <v>-34.72</v>
      </c>
    </row>
    <row r="246" spans="1:17">
      <c r="A246" t="s">
        <v>375</v>
      </c>
      <c r="B246" s="3">
        <v>45874</v>
      </c>
      <c r="C246" s="3">
        <v>45880</v>
      </c>
      <c r="D246" t="s">
        <v>108</v>
      </c>
      <c r="E246" t="s">
        <v>109</v>
      </c>
      <c r="F246" t="s">
        <v>50</v>
      </c>
      <c r="G246" t="s">
        <v>78</v>
      </c>
      <c r="H246" t="s">
        <v>79</v>
      </c>
      <c r="I246" t="s">
        <v>135</v>
      </c>
      <c r="J246" t="s">
        <v>60</v>
      </c>
      <c r="K246" t="s">
        <v>128</v>
      </c>
      <c r="L246" t="s">
        <v>129</v>
      </c>
      <c r="M246" s="4">
        <v>255.97</v>
      </c>
      <c r="N246">
        <v>3</v>
      </c>
      <c r="O246" s="5">
        <v>0.05</v>
      </c>
      <c r="P246" s="4">
        <v>729.5</v>
      </c>
      <c r="Q246" s="4">
        <v>106.34</v>
      </c>
    </row>
    <row r="247" spans="1:17">
      <c r="A247" t="s">
        <v>376</v>
      </c>
      <c r="B247" s="3">
        <v>45853</v>
      </c>
      <c r="C247" s="3">
        <v>45860</v>
      </c>
      <c r="D247" t="s">
        <v>113</v>
      </c>
      <c r="E247" t="s">
        <v>114</v>
      </c>
      <c r="F247" t="s">
        <v>66</v>
      </c>
      <c r="G247" t="s">
        <v>41</v>
      </c>
      <c r="H247" t="s">
        <v>42</v>
      </c>
      <c r="I247" t="s">
        <v>43</v>
      </c>
      <c r="J247" t="s">
        <v>44</v>
      </c>
      <c r="K247" t="s">
        <v>165</v>
      </c>
      <c r="L247" t="s">
        <v>166</v>
      </c>
      <c r="M247" s="4">
        <v>16.48</v>
      </c>
      <c r="N247">
        <v>3</v>
      </c>
      <c r="O247" s="5">
        <v>0.15</v>
      </c>
      <c r="P247" s="4">
        <v>42.02</v>
      </c>
      <c r="Q247" s="4">
        <v>3.6</v>
      </c>
    </row>
    <row r="248" spans="1:17">
      <c r="A248" t="s">
        <v>377</v>
      </c>
      <c r="B248" s="3">
        <v>45767</v>
      </c>
      <c r="C248" s="3">
        <v>45773</v>
      </c>
      <c r="D248" t="s">
        <v>76</v>
      </c>
      <c r="E248" t="s">
        <v>77</v>
      </c>
      <c r="F248" t="s">
        <v>40</v>
      </c>
      <c r="G248" t="s">
        <v>41</v>
      </c>
      <c r="H248" t="s">
        <v>42</v>
      </c>
      <c r="I248" t="s">
        <v>101</v>
      </c>
      <c r="J248" t="s">
        <v>51</v>
      </c>
      <c r="K248" t="s">
        <v>68</v>
      </c>
      <c r="L248" t="s">
        <v>69</v>
      </c>
      <c r="M248" s="4">
        <v>1483.66</v>
      </c>
      <c r="N248">
        <v>3</v>
      </c>
      <c r="O248" s="5">
        <v>0.05</v>
      </c>
      <c r="P248" s="4">
        <v>4228.4399999999996</v>
      </c>
      <c r="Q248" s="4">
        <v>679.07</v>
      </c>
    </row>
    <row r="249" spans="1:17">
      <c r="A249" t="s">
        <v>378</v>
      </c>
      <c r="B249" s="3">
        <v>45877</v>
      </c>
      <c r="C249" s="3">
        <v>45880</v>
      </c>
      <c r="D249" t="s">
        <v>76</v>
      </c>
      <c r="E249" t="s">
        <v>77</v>
      </c>
      <c r="F249" t="s">
        <v>50</v>
      </c>
      <c r="G249" t="s">
        <v>41</v>
      </c>
      <c r="H249" t="s">
        <v>42</v>
      </c>
      <c r="I249" t="s">
        <v>43</v>
      </c>
      <c r="J249" t="s">
        <v>60</v>
      </c>
      <c r="K249" t="s">
        <v>61</v>
      </c>
      <c r="L249" t="s">
        <v>62</v>
      </c>
      <c r="M249" s="4">
        <v>62.1</v>
      </c>
      <c r="N249">
        <v>3</v>
      </c>
      <c r="O249" s="5">
        <v>0</v>
      </c>
      <c r="P249" s="4">
        <v>186.3</v>
      </c>
      <c r="Q249" s="4">
        <v>13.24</v>
      </c>
    </row>
    <row r="250" spans="1:17">
      <c r="A250" t="s">
        <v>379</v>
      </c>
      <c r="B250" s="3">
        <v>45923</v>
      </c>
      <c r="C250" s="3">
        <v>45928</v>
      </c>
      <c r="D250" t="s">
        <v>163</v>
      </c>
      <c r="E250" t="s">
        <v>164</v>
      </c>
      <c r="F250" t="s">
        <v>50</v>
      </c>
      <c r="G250" t="s">
        <v>57</v>
      </c>
      <c r="H250" t="s">
        <v>58</v>
      </c>
      <c r="I250" t="s">
        <v>67</v>
      </c>
      <c r="J250" t="s">
        <v>60</v>
      </c>
      <c r="K250" t="s">
        <v>128</v>
      </c>
      <c r="L250" t="s">
        <v>129</v>
      </c>
      <c r="M250" s="4">
        <v>273.94</v>
      </c>
      <c r="N250">
        <v>4</v>
      </c>
      <c r="O250" s="5">
        <v>0.15</v>
      </c>
      <c r="P250" s="4">
        <v>931.39</v>
      </c>
      <c r="Q250" s="4">
        <v>197.03</v>
      </c>
    </row>
    <row r="251" spans="1:17">
      <c r="A251" t="s">
        <v>380</v>
      </c>
      <c r="B251" s="3">
        <v>45984</v>
      </c>
      <c r="C251" s="3">
        <v>45989</v>
      </c>
      <c r="D251" t="s">
        <v>121</v>
      </c>
      <c r="E251" t="s">
        <v>122</v>
      </c>
      <c r="F251" t="s">
        <v>66</v>
      </c>
      <c r="G251" t="s">
        <v>85</v>
      </c>
      <c r="H251" t="s">
        <v>86</v>
      </c>
      <c r="I251" t="s">
        <v>160</v>
      </c>
      <c r="J251" t="s">
        <v>51</v>
      </c>
      <c r="K251" t="s">
        <v>52</v>
      </c>
      <c r="L251" t="s">
        <v>53</v>
      </c>
      <c r="M251" s="4">
        <v>48.5</v>
      </c>
      <c r="N251">
        <v>2</v>
      </c>
      <c r="O251" s="5">
        <v>0.1</v>
      </c>
      <c r="P251" s="4">
        <v>87.3</v>
      </c>
      <c r="Q251" s="4">
        <v>4.63</v>
      </c>
    </row>
    <row r="252" spans="1:17">
      <c r="A252" t="s">
        <v>381</v>
      </c>
      <c r="B252" s="3">
        <v>45937</v>
      </c>
      <c r="C252" s="3">
        <v>45943</v>
      </c>
      <c r="D252" t="s">
        <v>76</v>
      </c>
      <c r="E252" t="s">
        <v>77</v>
      </c>
      <c r="F252" t="s">
        <v>66</v>
      </c>
      <c r="G252" t="s">
        <v>57</v>
      </c>
      <c r="H252" t="s">
        <v>58</v>
      </c>
      <c r="I252" t="s">
        <v>59</v>
      </c>
      <c r="J252" t="s">
        <v>60</v>
      </c>
      <c r="K252" t="s">
        <v>61</v>
      </c>
      <c r="L252" t="s">
        <v>62</v>
      </c>
      <c r="M252" s="4">
        <v>64.62</v>
      </c>
      <c r="N252">
        <v>3</v>
      </c>
      <c r="O252" s="5">
        <v>0.2</v>
      </c>
      <c r="P252" s="4">
        <v>155.1</v>
      </c>
      <c r="Q252" s="4">
        <v>-12.21</v>
      </c>
    </row>
    <row r="253" spans="1:17">
      <c r="A253" t="s">
        <v>382</v>
      </c>
      <c r="B253" s="3">
        <v>45917</v>
      </c>
      <c r="C253" s="3">
        <v>45920</v>
      </c>
      <c r="D253" t="s">
        <v>154</v>
      </c>
      <c r="E253" t="s">
        <v>155</v>
      </c>
      <c r="F253" t="s">
        <v>50</v>
      </c>
      <c r="G253" t="s">
        <v>41</v>
      </c>
      <c r="H253" t="s">
        <v>42</v>
      </c>
      <c r="I253" t="s">
        <v>119</v>
      </c>
      <c r="J253" t="s">
        <v>51</v>
      </c>
      <c r="K253" t="s">
        <v>125</v>
      </c>
      <c r="L253" t="s">
        <v>126</v>
      </c>
      <c r="M253" s="4">
        <v>884.31</v>
      </c>
      <c r="N253">
        <v>7</v>
      </c>
      <c r="O253" s="5">
        <v>0.05</v>
      </c>
      <c r="P253" s="4">
        <v>5880.65</v>
      </c>
      <c r="Q253" s="4">
        <v>415.21</v>
      </c>
    </row>
    <row r="254" spans="1:17">
      <c r="A254" t="s">
        <v>383</v>
      </c>
      <c r="B254" s="3">
        <v>45762</v>
      </c>
      <c r="C254" s="3">
        <v>45769</v>
      </c>
      <c r="D254" t="s">
        <v>48</v>
      </c>
      <c r="E254" t="s">
        <v>49</v>
      </c>
      <c r="F254" t="s">
        <v>50</v>
      </c>
      <c r="G254" t="s">
        <v>85</v>
      </c>
      <c r="H254" t="s">
        <v>86</v>
      </c>
      <c r="I254" t="s">
        <v>160</v>
      </c>
      <c r="J254" t="s">
        <v>44</v>
      </c>
      <c r="K254" t="s">
        <v>110</v>
      </c>
      <c r="L254" t="s">
        <v>111</v>
      </c>
      <c r="M254" s="4">
        <v>11.58</v>
      </c>
      <c r="N254">
        <v>3</v>
      </c>
      <c r="O254" s="5">
        <v>0.1</v>
      </c>
      <c r="P254" s="4">
        <v>31.28</v>
      </c>
      <c r="Q254" s="4">
        <v>6.15</v>
      </c>
    </row>
    <row r="255" spans="1:17">
      <c r="A255" t="s">
        <v>384</v>
      </c>
      <c r="B255" s="3">
        <v>45783</v>
      </c>
      <c r="C255" s="3">
        <v>45784</v>
      </c>
      <c r="D255" t="s">
        <v>71</v>
      </c>
      <c r="E255" t="s">
        <v>72</v>
      </c>
      <c r="F255" t="s">
        <v>40</v>
      </c>
      <c r="G255" t="s">
        <v>41</v>
      </c>
      <c r="H255" t="s">
        <v>42</v>
      </c>
      <c r="I255" t="s">
        <v>119</v>
      </c>
      <c r="J255" t="s">
        <v>44</v>
      </c>
      <c r="K255" t="s">
        <v>45</v>
      </c>
      <c r="L255" t="s">
        <v>46</v>
      </c>
      <c r="M255" s="4">
        <v>7.93</v>
      </c>
      <c r="N255">
        <v>7</v>
      </c>
      <c r="O255" s="5">
        <v>0</v>
      </c>
      <c r="P255" s="4">
        <v>55.48</v>
      </c>
      <c r="Q255" s="4">
        <v>11.22</v>
      </c>
    </row>
    <row r="256" spans="1:17">
      <c r="A256" t="s">
        <v>385</v>
      </c>
      <c r="B256" s="3">
        <v>45741</v>
      </c>
      <c r="C256" s="3">
        <v>45745</v>
      </c>
      <c r="D256" t="s">
        <v>221</v>
      </c>
      <c r="E256" t="s">
        <v>222</v>
      </c>
      <c r="F256" t="s">
        <v>50</v>
      </c>
      <c r="G256" t="s">
        <v>85</v>
      </c>
      <c r="H256" t="s">
        <v>86</v>
      </c>
      <c r="I256" t="s">
        <v>95</v>
      </c>
      <c r="J256" t="s">
        <v>60</v>
      </c>
      <c r="K256" t="s">
        <v>116</v>
      </c>
      <c r="L256" t="s">
        <v>117</v>
      </c>
      <c r="M256" s="4">
        <v>521.79</v>
      </c>
      <c r="N256">
        <v>6</v>
      </c>
      <c r="O256" s="5">
        <v>0.1</v>
      </c>
      <c r="P256" s="4">
        <v>2817.67</v>
      </c>
      <c r="Q256" s="4">
        <v>720.27</v>
      </c>
    </row>
    <row r="257" spans="1:17">
      <c r="A257" t="s">
        <v>386</v>
      </c>
      <c r="B257" s="3">
        <v>45829</v>
      </c>
      <c r="C257" s="3">
        <v>45836</v>
      </c>
      <c r="D257" t="s">
        <v>221</v>
      </c>
      <c r="E257" t="s">
        <v>222</v>
      </c>
      <c r="F257" t="s">
        <v>40</v>
      </c>
      <c r="G257" t="s">
        <v>57</v>
      </c>
      <c r="H257" t="s">
        <v>58</v>
      </c>
      <c r="I257" t="s">
        <v>59</v>
      </c>
      <c r="J257" t="s">
        <v>44</v>
      </c>
      <c r="K257" t="s">
        <v>110</v>
      </c>
      <c r="L257" t="s">
        <v>111</v>
      </c>
      <c r="M257" s="4">
        <v>12.06</v>
      </c>
      <c r="N257">
        <v>7</v>
      </c>
      <c r="O257" s="5">
        <v>0</v>
      </c>
      <c r="P257" s="4">
        <v>84.4</v>
      </c>
      <c r="Q257" s="4">
        <v>9.77</v>
      </c>
    </row>
    <row r="258" spans="1:17">
      <c r="A258" t="s">
        <v>387</v>
      </c>
      <c r="B258" s="3">
        <v>45913</v>
      </c>
      <c r="C258" s="3">
        <v>45920</v>
      </c>
      <c r="D258" t="s">
        <v>71</v>
      </c>
      <c r="E258" t="s">
        <v>72</v>
      </c>
      <c r="F258" t="s">
        <v>66</v>
      </c>
      <c r="G258" t="s">
        <v>41</v>
      </c>
      <c r="H258" t="s">
        <v>42</v>
      </c>
      <c r="I258" t="s">
        <v>119</v>
      </c>
      <c r="J258" t="s">
        <v>60</v>
      </c>
      <c r="K258" t="s">
        <v>128</v>
      </c>
      <c r="L258" t="s">
        <v>129</v>
      </c>
      <c r="M258" s="4">
        <v>260.81</v>
      </c>
      <c r="N258">
        <v>3</v>
      </c>
      <c r="O258" s="5">
        <v>0</v>
      </c>
      <c r="P258" s="4">
        <v>782.43</v>
      </c>
      <c r="Q258" s="4">
        <v>190.39</v>
      </c>
    </row>
    <row r="259" spans="1:17">
      <c r="A259" t="s">
        <v>388</v>
      </c>
      <c r="B259" s="3">
        <v>45664</v>
      </c>
      <c r="C259" s="3">
        <v>45666</v>
      </c>
      <c r="D259" t="s">
        <v>71</v>
      </c>
      <c r="E259" t="s">
        <v>72</v>
      </c>
      <c r="F259" t="s">
        <v>40</v>
      </c>
      <c r="G259" t="s">
        <v>41</v>
      </c>
      <c r="H259" t="s">
        <v>42</v>
      </c>
      <c r="I259" t="s">
        <v>43</v>
      </c>
      <c r="J259" t="s">
        <v>60</v>
      </c>
      <c r="K259" t="s">
        <v>73</v>
      </c>
      <c r="L259" t="s">
        <v>74</v>
      </c>
      <c r="M259" s="4">
        <v>379.39</v>
      </c>
      <c r="N259">
        <v>1</v>
      </c>
      <c r="O259" s="5">
        <v>0.05</v>
      </c>
      <c r="P259" s="4">
        <v>360.42</v>
      </c>
      <c r="Q259" s="4">
        <v>100.94</v>
      </c>
    </row>
    <row r="260" spans="1:17">
      <c r="A260" t="s">
        <v>389</v>
      </c>
      <c r="B260" s="3">
        <v>45822</v>
      </c>
      <c r="C260" s="3">
        <v>45824</v>
      </c>
      <c r="D260" t="s">
        <v>38</v>
      </c>
      <c r="E260" t="s">
        <v>39</v>
      </c>
      <c r="F260" t="s">
        <v>40</v>
      </c>
      <c r="G260" t="s">
        <v>41</v>
      </c>
      <c r="H260" t="s">
        <v>42</v>
      </c>
      <c r="I260" t="s">
        <v>101</v>
      </c>
      <c r="J260" t="s">
        <v>60</v>
      </c>
      <c r="K260" t="s">
        <v>61</v>
      </c>
      <c r="L260" t="s">
        <v>62</v>
      </c>
      <c r="M260" s="4">
        <v>62.66</v>
      </c>
      <c r="N260">
        <v>7</v>
      </c>
      <c r="O260" s="5">
        <v>0.15</v>
      </c>
      <c r="P260" s="4">
        <v>372.82</v>
      </c>
      <c r="Q260" s="4">
        <v>95.63</v>
      </c>
    </row>
    <row r="261" spans="1:17">
      <c r="A261" t="s">
        <v>390</v>
      </c>
      <c r="B261" s="3">
        <v>45922</v>
      </c>
      <c r="C261" s="3">
        <v>45923</v>
      </c>
      <c r="D261" t="s">
        <v>38</v>
      </c>
      <c r="E261" t="s">
        <v>39</v>
      </c>
      <c r="F261" t="s">
        <v>40</v>
      </c>
      <c r="G261" t="s">
        <v>41</v>
      </c>
      <c r="H261" t="s">
        <v>42</v>
      </c>
      <c r="I261" t="s">
        <v>101</v>
      </c>
      <c r="J261" t="s">
        <v>51</v>
      </c>
      <c r="K261" t="s">
        <v>52</v>
      </c>
      <c r="L261" t="s">
        <v>53</v>
      </c>
      <c r="M261" s="4">
        <v>48.39</v>
      </c>
      <c r="N261">
        <v>7</v>
      </c>
      <c r="O261" s="5">
        <v>0</v>
      </c>
      <c r="P261" s="4">
        <v>338.75</v>
      </c>
      <c r="Q261" s="4">
        <v>90.28</v>
      </c>
    </row>
    <row r="262" spans="1:17">
      <c r="A262" t="s">
        <v>391</v>
      </c>
      <c r="B262" s="3">
        <v>45846</v>
      </c>
      <c r="C262" s="3">
        <v>45848</v>
      </c>
      <c r="D262" t="s">
        <v>221</v>
      </c>
      <c r="E262" t="s">
        <v>222</v>
      </c>
      <c r="F262" t="s">
        <v>50</v>
      </c>
      <c r="G262" t="s">
        <v>57</v>
      </c>
      <c r="H262" t="s">
        <v>58</v>
      </c>
      <c r="I262" t="s">
        <v>91</v>
      </c>
      <c r="J262" t="s">
        <v>60</v>
      </c>
      <c r="K262" t="s">
        <v>61</v>
      </c>
      <c r="L262" t="s">
        <v>62</v>
      </c>
      <c r="M262" s="4">
        <v>68.7</v>
      </c>
      <c r="N262">
        <v>5</v>
      </c>
      <c r="O262" s="5">
        <v>0.1</v>
      </c>
      <c r="P262" s="4">
        <v>309.14</v>
      </c>
      <c r="Q262" s="4">
        <v>72.62</v>
      </c>
    </row>
    <row r="263" spans="1:17">
      <c r="A263" t="s">
        <v>392</v>
      </c>
      <c r="B263" s="3">
        <v>45735</v>
      </c>
      <c r="C263" s="3">
        <v>45736</v>
      </c>
      <c r="D263" t="s">
        <v>38</v>
      </c>
      <c r="E263" t="s">
        <v>39</v>
      </c>
      <c r="F263" t="s">
        <v>66</v>
      </c>
      <c r="G263" t="s">
        <v>57</v>
      </c>
      <c r="H263" t="s">
        <v>58</v>
      </c>
      <c r="I263" t="s">
        <v>67</v>
      </c>
      <c r="J263" t="s">
        <v>51</v>
      </c>
      <c r="K263" t="s">
        <v>102</v>
      </c>
      <c r="L263" t="s">
        <v>103</v>
      </c>
      <c r="M263" s="4">
        <v>302.91000000000003</v>
      </c>
      <c r="N263">
        <v>7</v>
      </c>
      <c r="O263" s="5">
        <v>0</v>
      </c>
      <c r="P263" s="4">
        <v>2120.38</v>
      </c>
      <c r="Q263" s="4">
        <v>289.66000000000003</v>
      </c>
    </row>
    <row r="264" spans="1:17">
      <c r="A264" t="s">
        <v>393</v>
      </c>
      <c r="B264" s="3">
        <v>45711</v>
      </c>
      <c r="C264" s="3">
        <v>45713</v>
      </c>
      <c r="D264" t="s">
        <v>105</v>
      </c>
      <c r="E264" t="s">
        <v>106</v>
      </c>
      <c r="F264" t="s">
        <v>50</v>
      </c>
      <c r="G264" t="s">
        <v>41</v>
      </c>
      <c r="H264" t="s">
        <v>42</v>
      </c>
      <c r="I264" t="s">
        <v>119</v>
      </c>
      <c r="J264" t="s">
        <v>60</v>
      </c>
      <c r="K264" t="s">
        <v>61</v>
      </c>
      <c r="L264" t="s">
        <v>62</v>
      </c>
      <c r="M264" s="4">
        <v>64.900000000000006</v>
      </c>
      <c r="N264">
        <v>4</v>
      </c>
      <c r="O264" s="5">
        <v>0.05</v>
      </c>
      <c r="P264" s="4">
        <v>246.61</v>
      </c>
      <c r="Q264" s="4">
        <v>16.02</v>
      </c>
    </row>
    <row r="265" spans="1:17">
      <c r="A265" t="s">
        <v>394</v>
      </c>
      <c r="B265" s="3">
        <v>46016</v>
      </c>
      <c r="C265" s="3">
        <v>46019</v>
      </c>
      <c r="D265" t="s">
        <v>98</v>
      </c>
      <c r="E265" t="s">
        <v>99</v>
      </c>
      <c r="F265" t="s">
        <v>50</v>
      </c>
      <c r="G265" t="s">
        <v>57</v>
      </c>
      <c r="H265" t="s">
        <v>58</v>
      </c>
      <c r="I265" t="s">
        <v>59</v>
      </c>
      <c r="J265" t="s">
        <v>51</v>
      </c>
      <c r="K265" t="s">
        <v>102</v>
      </c>
      <c r="L265" t="s">
        <v>103</v>
      </c>
      <c r="M265" s="4">
        <v>293.43</v>
      </c>
      <c r="N265">
        <v>8</v>
      </c>
      <c r="O265" s="5">
        <v>0.15</v>
      </c>
      <c r="P265" s="4">
        <v>1995.35</v>
      </c>
      <c r="Q265" s="4">
        <v>147.44</v>
      </c>
    </row>
    <row r="266" spans="1:17">
      <c r="A266" t="s">
        <v>395</v>
      </c>
      <c r="B266" s="3">
        <v>45997</v>
      </c>
      <c r="C266" s="3">
        <v>45999</v>
      </c>
      <c r="D266" t="s">
        <v>98</v>
      </c>
      <c r="E266" t="s">
        <v>99</v>
      </c>
      <c r="F266" t="s">
        <v>40</v>
      </c>
      <c r="G266" t="s">
        <v>78</v>
      </c>
      <c r="H266" t="s">
        <v>79</v>
      </c>
      <c r="I266" t="s">
        <v>135</v>
      </c>
      <c r="J266" t="s">
        <v>60</v>
      </c>
      <c r="K266" t="s">
        <v>73</v>
      </c>
      <c r="L266" t="s">
        <v>74</v>
      </c>
      <c r="M266" s="4">
        <v>371.36</v>
      </c>
      <c r="N266">
        <v>4</v>
      </c>
      <c r="O266" s="5">
        <v>0</v>
      </c>
      <c r="P266" s="4">
        <v>1485.43</v>
      </c>
      <c r="Q266" s="4">
        <v>191.25</v>
      </c>
    </row>
    <row r="267" spans="1:17">
      <c r="A267" t="s">
        <v>396</v>
      </c>
      <c r="B267" s="3">
        <v>45761</v>
      </c>
      <c r="C267" s="3">
        <v>45763</v>
      </c>
      <c r="D267" t="s">
        <v>137</v>
      </c>
      <c r="E267" t="s">
        <v>138</v>
      </c>
      <c r="F267" t="s">
        <v>66</v>
      </c>
      <c r="G267" t="s">
        <v>57</v>
      </c>
      <c r="H267" t="s">
        <v>58</v>
      </c>
      <c r="I267" t="s">
        <v>91</v>
      </c>
      <c r="J267" t="s">
        <v>44</v>
      </c>
      <c r="K267" t="s">
        <v>45</v>
      </c>
      <c r="L267" t="s">
        <v>46</v>
      </c>
      <c r="M267" s="4">
        <v>7.37</v>
      </c>
      <c r="N267">
        <v>2</v>
      </c>
      <c r="O267" s="5">
        <v>0</v>
      </c>
      <c r="P267" s="4">
        <v>14.74</v>
      </c>
      <c r="Q267" s="4">
        <v>2.39</v>
      </c>
    </row>
    <row r="268" spans="1:17">
      <c r="A268" t="s">
        <v>397</v>
      </c>
      <c r="B268" s="3">
        <v>45895</v>
      </c>
      <c r="C268" s="3">
        <v>45898</v>
      </c>
      <c r="D268" t="s">
        <v>105</v>
      </c>
      <c r="E268" t="s">
        <v>106</v>
      </c>
      <c r="F268" t="s">
        <v>66</v>
      </c>
      <c r="G268" t="s">
        <v>41</v>
      </c>
      <c r="H268" t="s">
        <v>42</v>
      </c>
      <c r="I268" t="s">
        <v>101</v>
      </c>
      <c r="J268" t="s">
        <v>51</v>
      </c>
      <c r="K268" t="s">
        <v>68</v>
      </c>
      <c r="L268" t="s">
        <v>69</v>
      </c>
      <c r="M268" s="4">
        <v>1350.71</v>
      </c>
      <c r="N268">
        <v>2</v>
      </c>
      <c r="O268" s="5">
        <v>0</v>
      </c>
      <c r="P268" s="4">
        <v>2701.42</v>
      </c>
      <c r="Q268" s="4">
        <v>598.4</v>
      </c>
    </row>
    <row r="269" spans="1:17">
      <c r="A269" t="s">
        <v>398</v>
      </c>
      <c r="B269" s="3">
        <v>45840</v>
      </c>
      <c r="C269" s="3">
        <v>45844</v>
      </c>
      <c r="D269" t="s">
        <v>38</v>
      </c>
      <c r="E269" t="s">
        <v>39</v>
      </c>
      <c r="F269" t="s">
        <v>66</v>
      </c>
      <c r="G269" t="s">
        <v>41</v>
      </c>
      <c r="H269" t="s">
        <v>42</v>
      </c>
      <c r="I269" t="s">
        <v>43</v>
      </c>
      <c r="J269" t="s">
        <v>51</v>
      </c>
      <c r="K269" t="s">
        <v>125</v>
      </c>
      <c r="L269" t="s">
        <v>126</v>
      </c>
      <c r="M269" s="4">
        <v>815.8</v>
      </c>
      <c r="N269">
        <v>1</v>
      </c>
      <c r="O269" s="5">
        <v>0.15</v>
      </c>
      <c r="P269" s="4">
        <v>693.43</v>
      </c>
      <c r="Q269" s="4">
        <v>176.84</v>
      </c>
    </row>
    <row r="270" spans="1:17">
      <c r="A270" t="s">
        <v>399</v>
      </c>
      <c r="B270" s="3">
        <v>45706</v>
      </c>
      <c r="C270" s="3">
        <v>45710</v>
      </c>
      <c r="D270" t="s">
        <v>38</v>
      </c>
      <c r="E270" t="s">
        <v>39</v>
      </c>
      <c r="F270" t="s">
        <v>40</v>
      </c>
      <c r="G270" t="s">
        <v>78</v>
      </c>
      <c r="H270" t="s">
        <v>79</v>
      </c>
      <c r="I270" t="s">
        <v>124</v>
      </c>
      <c r="J270" t="s">
        <v>60</v>
      </c>
      <c r="K270" t="s">
        <v>61</v>
      </c>
      <c r="L270" t="s">
        <v>96</v>
      </c>
      <c r="M270" s="4">
        <v>95.29</v>
      </c>
      <c r="N270">
        <v>2</v>
      </c>
      <c r="O270" s="5">
        <v>0.2</v>
      </c>
      <c r="P270" s="4">
        <v>152.46</v>
      </c>
      <c r="Q270" s="4">
        <v>-14.96</v>
      </c>
    </row>
    <row r="271" spans="1:17">
      <c r="A271" t="s">
        <v>400</v>
      </c>
      <c r="B271" s="3">
        <v>45956</v>
      </c>
      <c r="C271" s="3">
        <v>45961</v>
      </c>
      <c r="D271" t="s">
        <v>137</v>
      </c>
      <c r="E271" t="s">
        <v>138</v>
      </c>
      <c r="F271" t="s">
        <v>50</v>
      </c>
      <c r="G271" t="s">
        <v>85</v>
      </c>
      <c r="H271" t="s">
        <v>86</v>
      </c>
      <c r="I271" t="s">
        <v>95</v>
      </c>
      <c r="J271" t="s">
        <v>44</v>
      </c>
      <c r="K271" t="s">
        <v>165</v>
      </c>
      <c r="L271" t="s">
        <v>166</v>
      </c>
      <c r="M271" s="4">
        <v>13.72</v>
      </c>
      <c r="N271">
        <v>5</v>
      </c>
      <c r="O271" s="5">
        <v>0.2</v>
      </c>
      <c r="P271" s="4">
        <v>54.9</v>
      </c>
      <c r="Q271" s="4">
        <v>16.43</v>
      </c>
    </row>
    <row r="272" spans="1:17">
      <c r="A272" t="s">
        <v>401</v>
      </c>
      <c r="B272" s="3">
        <v>45894</v>
      </c>
      <c r="C272" s="3">
        <v>45895</v>
      </c>
      <c r="D272" t="s">
        <v>71</v>
      </c>
      <c r="E272" t="s">
        <v>72</v>
      </c>
      <c r="F272" t="s">
        <v>50</v>
      </c>
      <c r="G272" t="s">
        <v>78</v>
      </c>
      <c r="H272" t="s">
        <v>79</v>
      </c>
      <c r="I272" t="s">
        <v>135</v>
      </c>
      <c r="J272" t="s">
        <v>44</v>
      </c>
      <c r="K272" t="s">
        <v>110</v>
      </c>
      <c r="L272" t="s">
        <v>111</v>
      </c>
      <c r="M272" s="4">
        <v>11.84</v>
      </c>
      <c r="N272">
        <v>3</v>
      </c>
      <c r="O272" s="5">
        <v>0.1</v>
      </c>
      <c r="P272" s="4">
        <v>31.97</v>
      </c>
      <c r="Q272" s="4">
        <v>7.39</v>
      </c>
    </row>
    <row r="273" spans="1:17">
      <c r="A273" t="s">
        <v>402</v>
      </c>
      <c r="B273" s="3">
        <v>45753</v>
      </c>
      <c r="C273" s="3">
        <v>45756</v>
      </c>
      <c r="D273" t="s">
        <v>163</v>
      </c>
      <c r="E273" t="s">
        <v>164</v>
      </c>
      <c r="F273" t="s">
        <v>66</v>
      </c>
      <c r="G273" t="s">
        <v>78</v>
      </c>
      <c r="H273" t="s">
        <v>79</v>
      </c>
      <c r="I273" t="s">
        <v>80</v>
      </c>
      <c r="J273" t="s">
        <v>51</v>
      </c>
      <c r="K273" t="s">
        <v>52</v>
      </c>
      <c r="L273" t="s">
        <v>81</v>
      </c>
      <c r="M273" s="4">
        <v>75.37</v>
      </c>
      <c r="N273">
        <v>5</v>
      </c>
      <c r="O273" s="5">
        <v>0.05</v>
      </c>
      <c r="P273" s="4">
        <v>358</v>
      </c>
      <c r="Q273" s="4">
        <v>21</v>
      </c>
    </row>
    <row r="274" spans="1:17">
      <c r="A274" t="s">
        <v>403</v>
      </c>
      <c r="B274" s="3">
        <v>45903</v>
      </c>
      <c r="C274" s="3">
        <v>45904</v>
      </c>
      <c r="D274" t="s">
        <v>64</v>
      </c>
      <c r="E274" t="s">
        <v>65</v>
      </c>
      <c r="F274" t="s">
        <v>66</v>
      </c>
      <c r="G274" t="s">
        <v>85</v>
      </c>
      <c r="H274" t="s">
        <v>86</v>
      </c>
      <c r="I274" t="s">
        <v>87</v>
      </c>
      <c r="J274" t="s">
        <v>44</v>
      </c>
      <c r="K274" t="s">
        <v>143</v>
      </c>
      <c r="L274" t="s">
        <v>144</v>
      </c>
      <c r="M274" s="4">
        <v>17.579999999999998</v>
      </c>
      <c r="N274">
        <v>2</v>
      </c>
      <c r="O274" s="5">
        <v>0</v>
      </c>
      <c r="P274" s="4">
        <v>35.159999999999997</v>
      </c>
      <c r="Q274" s="4">
        <v>5.44</v>
      </c>
    </row>
    <row r="275" spans="1:17">
      <c r="A275" t="s">
        <v>404</v>
      </c>
      <c r="B275" s="3">
        <v>45903</v>
      </c>
      <c r="C275" s="3">
        <v>45908</v>
      </c>
      <c r="D275" t="s">
        <v>76</v>
      </c>
      <c r="E275" t="s">
        <v>77</v>
      </c>
      <c r="F275" t="s">
        <v>40</v>
      </c>
      <c r="G275" t="s">
        <v>85</v>
      </c>
      <c r="H275" t="s">
        <v>86</v>
      </c>
      <c r="I275" t="s">
        <v>87</v>
      </c>
      <c r="J275" t="s">
        <v>51</v>
      </c>
      <c r="K275" t="s">
        <v>68</v>
      </c>
      <c r="L275" t="s">
        <v>69</v>
      </c>
      <c r="M275" s="4">
        <v>1569.68</v>
      </c>
      <c r="N275">
        <v>8</v>
      </c>
      <c r="O275" s="5">
        <v>0</v>
      </c>
      <c r="P275" s="4">
        <v>12557.41</v>
      </c>
      <c r="Q275" s="4">
        <v>2205.06</v>
      </c>
    </row>
    <row r="276" spans="1:17">
      <c r="A276" t="s">
        <v>405</v>
      </c>
      <c r="B276" s="3">
        <v>45801</v>
      </c>
      <c r="C276" s="3">
        <v>45802</v>
      </c>
      <c r="D276" t="s">
        <v>221</v>
      </c>
      <c r="E276" t="s">
        <v>222</v>
      </c>
      <c r="F276" t="s">
        <v>66</v>
      </c>
      <c r="G276" t="s">
        <v>85</v>
      </c>
      <c r="H276" t="s">
        <v>86</v>
      </c>
      <c r="I276" t="s">
        <v>95</v>
      </c>
      <c r="J276" t="s">
        <v>60</v>
      </c>
      <c r="K276" t="s">
        <v>116</v>
      </c>
      <c r="L276" t="s">
        <v>117</v>
      </c>
      <c r="M276" s="4">
        <v>505.17</v>
      </c>
      <c r="N276">
        <v>8</v>
      </c>
      <c r="O276" s="5">
        <v>0.1</v>
      </c>
      <c r="P276" s="4">
        <v>3637.25</v>
      </c>
      <c r="Q276" s="4">
        <v>712.89</v>
      </c>
    </row>
    <row r="277" spans="1:17">
      <c r="A277" t="s">
        <v>406</v>
      </c>
      <c r="B277" s="3">
        <v>45931</v>
      </c>
      <c r="C277" s="3">
        <v>45938</v>
      </c>
      <c r="D277" t="s">
        <v>93</v>
      </c>
      <c r="E277" t="s">
        <v>94</v>
      </c>
      <c r="F277" t="s">
        <v>50</v>
      </c>
      <c r="G277" t="s">
        <v>85</v>
      </c>
      <c r="H277" t="s">
        <v>86</v>
      </c>
      <c r="I277" t="s">
        <v>95</v>
      </c>
      <c r="J277" t="s">
        <v>60</v>
      </c>
      <c r="K277" t="s">
        <v>116</v>
      </c>
      <c r="L277" t="s">
        <v>117</v>
      </c>
      <c r="M277" s="4">
        <v>571.62</v>
      </c>
      <c r="N277">
        <v>1</v>
      </c>
      <c r="O277" s="5">
        <v>0.2</v>
      </c>
      <c r="P277" s="4">
        <v>457.3</v>
      </c>
      <c r="Q277" s="4">
        <v>47.95</v>
      </c>
    </row>
    <row r="278" spans="1:17">
      <c r="A278" t="s">
        <v>407</v>
      </c>
      <c r="B278" s="3">
        <v>45820</v>
      </c>
      <c r="C278" s="3">
        <v>45827</v>
      </c>
      <c r="D278" t="s">
        <v>89</v>
      </c>
      <c r="E278" t="s">
        <v>90</v>
      </c>
      <c r="F278" t="s">
        <v>50</v>
      </c>
      <c r="G278" t="s">
        <v>78</v>
      </c>
      <c r="H278" t="s">
        <v>79</v>
      </c>
      <c r="I278" t="s">
        <v>124</v>
      </c>
      <c r="J278" t="s">
        <v>51</v>
      </c>
      <c r="K278" t="s">
        <v>52</v>
      </c>
      <c r="L278" t="s">
        <v>53</v>
      </c>
      <c r="M278" s="4">
        <v>40.75</v>
      </c>
      <c r="N278">
        <v>6</v>
      </c>
      <c r="O278" s="5">
        <v>0.1</v>
      </c>
      <c r="P278" s="4">
        <v>220.07</v>
      </c>
      <c r="Q278" s="4">
        <v>49.55</v>
      </c>
    </row>
    <row r="279" spans="1:17">
      <c r="A279" t="s">
        <v>408</v>
      </c>
      <c r="B279" s="3">
        <v>45747</v>
      </c>
      <c r="C279" s="3">
        <v>45751</v>
      </c>
      <c r="D279" t="s">
        <v>105</v>
      </c>
      <c r="E279" t="s">
        <v>106</v>
      </c>
      <c r="F279" t="s">
        <v>50</v>
      </c>
      <c r="G279" t="s">
        <v>85</v>
      </c>
      <c r="H279" t="s">
        <v>86</v>
      </c>
      <c r="I279" t="s">
        <v>87</v>
      </c>
      <c r="J279" t="s">
        <v>44</v>
      </c>
      <c r="K279" t="s">
        <v>140</v>
      </c>
      <c r="L279" t="s">
        <v>141</v>
      </c>
      <c r="M279" s="4">
        <v>22.78</v>
      </c>
      <c r="N279">
        <v>1</v>
      </c>
      <c r="O279" s="5">
        <v>0</v>
      </c>
      <c r="P279" s="4">
        <v>22.78</v>
      </c>
      <c r="Q279" s="4">
        <v>-1.54</v>
      </c>
    </row>
    <row r="280" spans="1:17">
      <c r="A280" t="s">
        <v>409</v>
      </c>
      <c r="B280" s="3">
        <v>45823</v>
      </c>
      <c r="C280" s="3">
        <v>45824</v>
      </c>
      <c r="D280" t="s">
        <v>132</v>
      </c>
      <c r="E280" t="s">
        <v>133</v>
      </c>
      <c r="F280" t="s">
        <v>50</v>
      </c>
      <c r="G280" t="s">
        <v>57</v>
      </c>
      <c r="H280" t="s">
        <v>58</v>
      </c>
      <c r="I280" t="s">
        <v>67</v>
      </c>
      <c r="J280" t="s">
        <v>51</v>
      </c>
      <c r="K280" t="s">
        <v>52</v>
      </c>
      <c r="L280" t="s">
        <v>81</v>
      </c>
      <c r="M280" s="4">
        <v>71.209999999999994</v>
      </c>
      <c r="N280">
        <v>1</v>
      </c>
      <c r="O280" s="5">
        <v>0</v>
      </c>
      <c r="P280" s="4">
        <v>71.209999999999994</v>
      </c>
      <c r="Q280" s="4">
        <v>19.89</v>
      </c>
    </row>
    <row r="281" spans="1:17">
      <c r="A281" t="s">
        <v>410</v>
      </c>
      <c r="B281" s="3">
        <v>45709</v>
      </c>
      <c r="C281" s="3">
        <v>45712</v>
      </c>
      <c r="D281" t="s">
        <v>89</v>
      </c>
      <c r="E281" t="s">
        <v>90</v>
      </c>
      <c r="F281" t="s">
        <v>66</v>
      </c>
      <c r="G281" t="s">
        <v>57</v>
      </c>
      <c r="H281" t="s">
        <v>58</v>
      </c>
      <c r="I281" t="s">
        <v>59</v>
      </c>
      <c r="J281" t="s">
        <v>60</v>
      </c>
      <c r="K281" t="s">
        <v>61</v>
      </c>
      <c r="L281" t="s">
        <v>62</v>
      </c>
      <c r="M281" s="4">
        <v>60.27</v>
      </c>
      <c r="N281">
        <v>5</v>
      </c>
      <c r="O281" s="5">
        <v>0</v>
      </c>
      <c r="P281" s="4">
        <v>301.37</v>
      </c>
      <c r="Q281" s="4">
        <v>26.94</v>
      </c>
    </row>
    <row r="282" spans="1:17">
      <c r="A282" t="s">
        <v>411</v>
      </c>
      <c r="B282" s="3">
        <v>45840</v>
      </c>
      <c r="C282" s="3">
        <v>45842</v>
      </c>
      <c r="D282" t="s">
        <v>158</v>
      </c>
      <c r="E282" t="s">
        <v>159</v>
      </c>
      <c r="F282" t="s">
        <v>66</v>
      </c>
      <c r="G282" t="s">
        <v>78</v>
      </c>
      <c r="H282" t="s">
        <v>79</v>
      </c>
      <c r="I282" t="s">
        <v>80</v>
      </c>
      <c r="J282" t="s">
        <v>51</v>
      </c>
      <c r="K282" t="s">
        <v>102</v>
      </c>
      <c r="L282" t="s">
        <v>103</v>
      </c>
      <c r="M282" s="4">
        <v>307.64</v>
      </c>
      <c r="N282">
        <v>3</v>
      </c>
      <c r="O282" s="5">
        <v>0.05</v>
      </c>
      <c r="P282" s="4">
        <v>876.76</v>
      </c>
      <c r="Q282" s="4">
        <v>194.75</v>
      </c>
    </row>
    <row r="283" spans="1:17">
      <c r="A283" t="s">
        <v>412</v>
      </c>
      <c r="B283" s="3">
        <v>45751</v>
      </c>
      <c r="C283" s="3">
        <v>45756</v>
      </c>
      <c r="D283" t="s">
        <v>71</v>
      </c>
      <c r="E283" t="s">
        <v>72</v>
      </c>
      <c r="F283" t="s">
        <v>40</v>
      </c>
      <c r="G283" t="s">
        <v>41</v>
      </c>
      <c r="H283" t="s">
        <v>42</v>
      </c>
      <c r="I283" t="s">
        <v>101</v>
      </c>
      <c r="J283" t="s">
        <v>44</v>
      </c>
      <c r="K283" t="s">
        <v>140</v>
      </c>
      <c r="L283" t="s">
        <v>141</v>
      </c>
      <c r="M283" s="4">
        <v>27.34</v>
      </c>
      <c r="N283">
        <v>6</v>
      </c>
      <c r="O283" s="5">
        <v>0.2</v>
      </c>
      <c r="P283" s="4">
        <v>131.22</v>
      </c>
      <c r="Q283" s="4">
        <v>13.81</v>
      </c>
    </row>
    <row r="284" spans="1:17">
      <c r="A284" t="s">
        <v>413</v>
      </c>
      <c r="B284" s="3">
        <v>45835</v>
      </c>
      <c r="C284" s="3">
        <v>45838</v>
      </c>
      <c r="D284" t="s">
        <v>38</v>
      </c>
      <c r="E284" t="s">
        <v>39</v>
      </c>
      <c r="F284" t="s">
        <v>66</v>
      </c>
      <c r="G284" t="s">
        <v>78</v>
      </c>
      <c r="H284" t="s">
        <v>79</v>
      </c>
      <c r="I284" t="s">
        <v>135</v>
      </c>
      <c r="J284" t="s">
        <v>60</v>
      </c>
      <c r="K284" t="s">
        <v>73</v>
      </c>
      <c r="L284" t="s">
        <v>74</v>
      </c>
      <c r="M284" s="4">
        <v>420.05</v>
      </c>
      <c r="N284">
        <v>3</v>
      </c>
      <c r="O284" s="5">
        <v>0.15</v>
      </c>
      <c r="P284" s="4">
        <v>1071.1400000000001</v>
      </c>
      <c r="Q284" s="4">
        <v>77.319999999999993</v>
      </c>
    </row>
    <row r="285" spans="1:17">
      <c r="A285" t="s">
        <v>414</v>
      </c>
      <c r="B285" s="3">
        <v>46012</v>
      </c>
      <c r="C285" s="3">
        <v>46013</v>
      </c>
      <c r="D285" t="s">
        <v>38</v>
      </c>
      <c r="E285" t="s">
        <v>39</v>
      </c>
      <c r="F285" t="s">
        <v>50</v>
      </c>
      <c r="G285" t="s">
        <v>57</v>
      </c>
      <c r="H285" t="s">
        <v>58</v>
      </c>
      <c r="I285" t="s">
        <v>91</v>
      </c>
      <c r="J285" t="s">
        <v>44</v>
      </c>
      <c r="K285" t="s">
        <v>45</v>
      </c>
      <c r="L285" t="s">
        <v>46</v>
      </c>
      <c r="M285" s="4">
        <v>8.4600000000000009</v>
      </c>
      <c r="N285">
        <v>6</v>
      </c>
      <c r="O285" s="5">
        <v>0</v>
      </c>
      <c r="P285" s="4">
        <v>50.76</v>
      </c>
      <c r="Q285" s="4">
        <v>-3.24</v>
      </c>
    </row>
    <row r="286" spans="1:17">
      <c r="A286" t="s">
        <v>415</v>
      </c>
      <c r="B286" s="3">
        <v>45937</v>
      </c>
      <c r="C286" s="3">
        <v>45941</v>
      </c>
      <c r="D286" t="s">
        <v>76</v>
      </c>
      <c r="E286" t="s">
        <v>77</v>
      </c>
      <c r="F286" t="s">
        <v>66</v>
      </c>
      <c r="G286" t="s">
        <v>78</v>
      </c>
      <c r="H286" t="s">
        <v>79</v>
      </c>
      <c r="I286" t="s">
        <v>135</v>
      </c>
      <c r="J286" t="s">
        <v>44</v>
      </c>
      <c r="K286" t="s">
        <v>143</v>
      </c>
      <c r="L286" t="s">
        <v>144</v>
      </c>
      <c r="M286" s="4">
        <v>17.93</v>
      </c>
      <c r="N286">
        <v>2</v>
      </c>
      <c r="O286" s="5">
        <v>0.2</v>
      </c>
      <c r="P286" s="4">
        <v>28.68</v>
      </c>
      <c r="Q286" s="4">
        <v>7.63</v>
      </c>
    </row>
    <row r="287" spans="1:17">
      <c r="A287" t="s">
        <v>416</v>
      </c>
      <c r="B287" s="3">
        <v>45668</v>
      </c>
      <c r="C287" s="3">
        <v>45671</v>
      </c>
      <c r="D287" t="s">
        <v>105</v>
      </c>
      <c r="E287" t="s">
        <v>106</v>
      </c>
      <c r="F287" t="s">
        <v>66</v>
      </c>
      <c r="G287" t="s">
        <v>85</v>
      </c>
      <c r="H287" t="s">
        <v>86</v>
      </c>
      <c r="I287" t="s">
        <v>95</v>
      </c>
      <c r="J287" t="s">
        <v>51</v>
      </c>
      <c r="K287" t="s">
        <v>125</v>
      </c>
      <c r="L287" t="s">
        <v>126</v>
      </c>
      <c r="M287" s="4">
        <v>777.61</v>
      </c>
      <c r="N287">
        <v>5</v>
      </c>
      <c r="O287" s="5">
        <v>0</v>
      </c>
      <c r="P287" s="4">
        <v>3888.07</v>
      </c>
      <c r="Q287" s="4">
        <v>359.75</v>
      </c>
    </row>
    <row r="288" spans="1:17">
      <c r="A288" t="s">
        <v>417</v>
      </c>
      <c r="B288" s="3">
        <v>45905</v>
      </c>
      <c r="C288" s="3">
        <v>45911</v>
      </c>
      <c r="D288" t="s">
        <v>158</v>
      </c>
      <c r="E288" t="s">
        <v>159</v>
      </c>
      <c r="F288" t="s">
        <v>50</v>
      </c>
      <c r="G288" t="s">
        <v>41</v>
      </c>
      <c r="H288" t="s">
        <v>42</v>
      </c>
      <c r="I288" t="s">
        <v>101</v>
      </c>
      <c r="J288" t="s">
        <v>44</v>
      </c>
      <c r="K288" t="s">
        <v>140</v>
      </c>
      <c r="L288" t="s">
        <v>141</v>
      </c>
      <c r="M288" s="4">
        <v>27.21</v>
      </c>
      <c r="N288">
        <v>1</v>
      </c>
      <c r="O288" s="5">
        <v>0.05</v>
      </c>
      <c r="P288" s="4">
        <v>25.85</v>
      </c>
      <c r="Q288" s="4">
        <v>2.36</v>
      </c>
    </row>
    <row r="289" spans="1:17">
      <c r="A289" t="s">
        <v>418</v>
      </c>
      <c r="B289" s="3">
        <v>45867</v>
      </c>
      <c r="C289" s="3">
        <v>45873</v>
      </c>
      <c r="D289" t="s">
        <v>163</v>
      </c>
      <c r="E289" t="s">
        <v>164</v>
      </c>
      <c r="F289" t="s">
        <v>50</v>
      </c>
      <c r="G289" t="s">
        <v>85</v>
      </c>
      <c r="H289" t="s">
        <v>86</v>
      </c>
      <c r="I289" t="s">
        <v>95</v>
      </c>
      <c r="J289" t="s">
        <v>44</v>
      </c>
      <c r="K289" t="s">
        <v>45</v>
      </c>
      <c r="L289" t="s">
        <v>46</v>
      </c>
      <c r="M289" s="4">
        <v>7.65</v>
      </c>
      <c r="N289">
        <v>5</v>
      </c>
      <c r="O289" s="5">
        <v>0.15</v>
      </c>
      <c r="P289" s="4">
        <v>32.51</v>
      </c>
      <c r="Q289" s="4">
        <v>-2.5099999999999998</v>
      </c>
    </row>
    <row r="290" spans="1:17">
      <c r="A290" t="s">
        <v>419</v>
      </c>
      <c r="B290" s="3">
        <v>45702</v>
      </c>
      <c r="C290" s="3">
        <v>45705</v>
      </c>
      <c r="D290" t="s">
        <v>98</v>
      </c>
      <c r="E290" t="s">
        <v>99</v>
      </c>
      <c r="F290" t="s">
        <v>50</v>
      </c>
      <c r="G290" t="s">
        <v>78</v>
      </c>
      <c r="H290" t="s">
        <v>79</v>
      </c>
      <c r="I290" t="s">
        <v>135</v>
      </c>
      <c r="J290" t="s">
        <v>44</v>
      </c>
      <c r="K290" t="s">
        <v>110</v>
      </c>
      <c r="L290" t="s">
        <v>111</v>
      </c>
      <c r="M290" s="4">
        <v>11.03</v>
      </c>
      <c r="N290">
        <v>8</v>
      </c>
      <c r="O290" s="5">
        <v>0</v>
      </c>
      <c r="P290" s="4">
        <v>88.26</v>
      </c>
      <c r="Q290" s="4">
        <v>8.98</v>
      </c>
    </row>
    <row r="291" spans="1:17">
      <c r="A291" t="s">
        <v>420</v>
      </c>
      <c r="B291" s="3">
        <v>45908</v>
      </c>
      <c r="C291" s="3">
        <v>45914</v>
      </c>
      <c r="D291" t="s">
        <v>121</v>
      </c>
      <c r="E291" t="s">
        <v>122</v>
      </c>
      <c r="F291" t="s">
        <v>50</v>
      </c>
      <c r="G291" t="s">
        <v>41</v>
      </c>
      <c r="H291" t="s">
        <v>42</v>
      </c>
      <c r="I291" t="s">
        <v>119</v>
      </c>
      <c r="J291" t="s">
        <v>44</v>
      </c>
      <c r="K291" t="s">
        <v>143</v>
      </c>
      <c r="L291" t="s">
        <v>144</v>
      </c>
      <c r="M291" s="4">
        <v>18.510000000000002</v>
      </c>
      <c r="N291">
        <v>5</v>
      </c>
      <c r="O291" s="5">
        <v>0</v>
      </c>
      <c r="P291" s="4">
        <v>92.55</v>
      </c>
      <c r="Q291" s="4">
        <v>13.59</v>
      </c>
    </row>
    <row r="292" spans="1:17">
      <c r="A292" t="s">
        <v>421</v>
      </c>
      <c r="B292" s="3">
        <v>45883</v>
      </c>
      <c r="C292" s="3">
        <v>45887</v>
      </c>
      <c r="D292" t="s">
        <v>93</v>
      </c>
      <c r="E292" t="s">
        <v>94</v>
      </c>
      <c r="F292" t="s">
        <v>50</v>
      </c>
      <c r="G292" t="s">
        <v>78</v>
      </c>
      <c r="H292" t="s">
        <v>79</v>
      </c>
      <c r="I292" t="s">
        <v>124</v>
      </c>
      <c r="J292" t="s">
        <v>44</v>
      </c>
      <c r="K292" t="s">
        <v>110</v>
      </c>
      <c r="L292" t="s">
        <v>111</v>
      </c>
      <c r="M292" s="4">
        <v>12.81</v>
      </c>
      <c r="N292">
        <v>5</v>
      </c>
      <c r="O292" s="5">
        <v>0</v>
      </c>
      <c r="P292" s="4">
        <v>64.040000000000006</v>
      </c>
      <c r="Q292" s="4">
        <v>12.24</v>
      </c>
    </row>
    <row r="293" spans="1:17">
      <c r="A293" t="s">
        <v>422</v>
      </c>
      <c r="B293" s="3">
        <v>45959</v>
      </c>
      <c r="C293" s="3">
        <v>45961</v>
      </c>
      <c r="D293" t="s">
        <v>98</v>
      </c>
      <c r="E293" t="s">
        <v>99</v>
      </c>
      <c r="F293" t="s">
        <v>40</v>
      </c>
      <c r="G293" t="s">
        <v>41</v>
      </c>
      <c r="H293" t="s">
        <v>42</v>
      </c>
      <c r="I293" t="s">
        <v>43</v>
      </c>
      <c r="J293" t="s">
        <v>44</v>
      </c>
      <c r="K293" t="s">
        <v>140</v>
      </c>
      <c r="L293" t="s">
        <v>141</v>
      </c>
      <c r="M293" s="4">
        <v>24.44</v>
      </c>
      <c r="N293">
        <v>1</v>
      </c>
      <c r="O293" s="5">
        <v>0.2</v>
      </c>
      <c r="P293" s="4">
        <v>19.55</v>
      </c>
      <c r="Q293" s="4">
        <v>3.53</v>
      </c>
    </row>
    <row r="294" spans="1:17">
      <c r="A294" t="s">
        <v>423</v>
      </c>
      <c r="B294" s="3">
        <v>45860</v>
      </c>
      <c r="C294" s="3">
        <v>45867</v>
      </c>
      <c r="D294" t="s">
        <v>137</v>
      </c>
      <c r="E294" t="s">
        <v>138</v>
      </c>
      <c r="F294" t="s">
        <v>50</v>
      </c>
      <c r="G294" t="s">
        <v>78</v>
      </c>
      <c r="H294" t="s">
        <v>79</v>
      </c>
      <c r="I294" t="s">
        <v>80</v>
      </c>
      <c r="J294" t="s">
        <v>44</v>
      </c>
      <c r="K294" t="s">
        <v>165</v>
      </c>
      <c r="L294" t="s">
        <v>166</v>
      </c>
      <c r="M294" s="4">
        <v>15.21</v>
      </c>
      <c r="N294">
        <v>1</v>
      </c>
      <c r="O294" s="5">
        <v>0.1</v>
      </c>
      <c r="P294" s="4">
        <v>13.69</v>
      </c>
      <c r="Q294" s="4">
        <v>2.4500000000000002</v>
      </c>
    </row>
    <row r="295" spans="1:17">
      <c r="A295" t="s">
        <v>424</v>
      </c>
      <c r="B295" s="3">
        <v>45756</v>
      </c>
      <c r="C295" s="3">
        <v>45758</v>
      </c>
      <c r="D295" t="s">
        <v>163</v>
      </c>
      <c r="E295" t="s">
        <v>164</v>
      </c>
      <c r="F295" t="s">
        <v>66</v>
      </c>
      <c r="G295" t="s">
        <v>85</v>
      </c>
      <c r="H295" t="s">
        <v>86</v>
      </c>
      <c r="I295" t="s">
        <v>95</v>
      </c>
      <c r="J295" t="s">
        <v>51</v>
      </c>
      <c r="K295" t="s">
        <v>52</v>
      </c>
      <c r="L295" t="s">
        <v>53</v>
      </c>
      <c r="M295" s="4">
        <v>41.21</v>
      </c>
      <c r="N295">
        <v>1</v>
      </c>
      <c r="O295" s="5">
        <v>0.05</v>
      </c>
      <c r="P295" s="4">
        <v>39.15</v>
      </c>
      <c r="Q295" s="4">
        <v>8.64</v>
      </c>
    </row>
    <row r="296" spans="1:17">
      <c r="A296" t="s">
        <v>425</v>
      </c>
      <c r="B296" s="3">
        <v>45856</v>
      </c>
      <c r="C296" s="3">
        <v>45861</v>
      </c>
      <c r="D296" t="s">
        <v>137</v>
      </c>
      <c r="E296" t="s">
        <v>138</v>
      </c>
      <c r="F296" t="s">
        <v>66</v>
      </c>
      <c r="G296" t="s">
        <v>85</v>
      </c>
      <c r="H296" t="s">
        <v>86</v>
      </c>
      <c r="I296" t="s">
        <v>87</v>
      </c>
      <c r="J296" t="s">
        <v>44</v>
      </c>
      <c r="K296" t="s">
        <v>110</v>
      </c>
      <c r="L296" t="s">
        <v>111</v>
      </c>
      <c r="M296" s="4">
        <v>11.58</v>
      </c>
      <c r="N296">
        <v>7</v>
      </c>
      <c r="O296" s="5">
        <v>0.1</v>
      </c>
      <c r="P296" s="4">
        <v>72.97</v>
      </c>
      <c r="Q296" s="4">
        <v>8.69</v>
      </c>
    </row>
    <row r="297" spans="1:17">
      <c r="A297" t="s">
        <v>426</v>
      </c>
      <c r="B297" s="3">
        <v>45715</v>
      </c>
      <c r="C297" s="3">
        <v>45719</v>
      </c>
      <c r="D297" t="s">
        <v>98</v>
      </c>
      <c r="E297" t="s">
        <v>99</v>
      </c>
      <c r="F297" t="s">
        <v>40</v>
      </c>
      <c r="G297" t="s">
        <v>41</v>
      </c>
      <c r="H297" t="s">
        <v>42</v>
      </c>
      <c r="I297" t="s">
        <v>101</v>
      </c>
      <c r="J297" t="s">
        <v>60</v>
      </c>
      <c r="K297" t="s">
        <v>61</v>
      </c>
      <c r="L297" t="s">
        <v>96</v>
      </c>
      <c r="M297" s="4">
        <v>91.2</v>
      </c>
      <c r="N297">
        <v>3</v>
      </c>
      <c r="O297" s="5">
        <v>0</v>
      </c>
      <c r="P297" s="4">
        <v>273.60000000000002</v>
      </c>
      <c r="Q297" s="4">
        <v>53.54</v>
      </c>
    </row>
    <row r="298" spans="1:17">
      <c r="A298" t="s">
        <v>427</v>
      </c>
      <c r="B298" s="3">
        <v>45834</v>
      </c>
      <c r="C298" s="3">
        <v>45838</v>
      </c>
      <c r="D298" t="s">
        <v>64</v>
      </c>
      <c r="E298" t="s">
        <v>65</v>
      </c>
      <c r="F298" t="s">
        <v>40</v>
      </c>
      <c r="G298" t="s">
        <v>41</v>
      </c>
      <c r="H298" t="s">
        <v>42</v>
      </c>
      <c r="I298" t="s">
        <v>43</v>
      </c>
      <c r="J298" t="s">
        <v>51</v>
      </c>
      <c r="K298" t="s">
        <v>52</v>
      </c>
      <c r="L298" t="s">
        <v>81</v>
      </c>
      <c r="M298" s="4">
        <v>72.17</v>
      </c>
      <c r="N298">
        <v>5</v>
      </c>
      <c r="O298" s="5">
        <v>0.05</v>
      </c>
      <c r="P298" s="4">
        <v>342.79</v>
      </c>
      <c r="Q298" s="4">
        <v>66.16</v>
      </c>
    </row>
    <row r="299" spans="1:17">
      <c r="A299" t="s">
        <v>428</v>
      </c>
      <c r="B299" s="3">
        <v>46006</v>
      </c>
      <c r="C299" s="3">
        <v>46012</v>
      </c>
      <c r="D299" t="s">
        <v>158</v>
      </c>
      <c r="E299" t="s">
        <v>159</v>
      </c>
      <c r="F299" t="s">
        <v>66</v>
      </c>
      <c r="G299" t="s">
        <v>85</v>
      </c>
      <c r="H299" t="s">
        <v>86</v>
      </c>
      <c r="I299" t="s">
        <v>160</v>
      </c>
      <c r="J299" t="s">
        <v>51</v>
      </c>
      <c r="K299" t="s">
        <v>102</v>
      </c>
      <c r="L299" t="s">
        <v>103</v>
      </c>
      <c r="M299" s="4">
        <v>313.33</v>
      </c>
      <c r="N299">
        <v>7</v>
      </c>
      <c r="O299" s="5">
        <v>0</v>
      </c>
      <c r="P299" s="4">
        <v>2193.3200000000002</v>
      </c>
      <c r="Q299" s="4">
        <v>591.62</v>
      </c>
    </row>
    <row r="300" spans="1:17">
      <c r="A300" t="s">
        <v>429</v>
      </c>
      <c r="B300" s="3">
        <v>45830</v>
      </c>
      <c r="C300" s="3">
        <v>45837</v>
      </c>
      <c r="D300" t="s">
        <v>221</v>
      </c>
      <c r="E300" t="s">
        <v>222</v>
      </c>
      <c r="F300" t="s">
        <v>66</v>
      </c>
      <c r="G300" t="s">
        <v>41</v>
      </c>
      <c r="H300" t="s">
        <v>42</v>
      </c>
      <c r="I300" t="s">
        <v>101</v>
      </c>
      <c r="J300" t="s">
        <v>44</v>
      </c>
      <c r="K300" t="s">
        <v>165</v>
      </c>
      <c r="L300" t="s">
        <v>166</v>
      </c>
      <c r="M300" s="4">
        <v>14.34</v>
      </c>
      <c r="N300">
        <v>5</v>
      </c>
      <c r="O300" s="5">
        <v>0</v>
      </c>
      <c r="P300" s="4">
        <v>71.709999999999994</v>
      </c>
      <c r="Q300" s="4">
        <v>12.4</v>
      </c>
    </row>
    <row r="301" spans="1:17">
      <c r="A301" t="s">
        <v>430</v>
      </c>
      <c r="B301" s="3">
        <v>45795</v>
      </c>
      <c r="C301" s="3">
        <v>45801</v>
      </c>
      <c r="D301" t="s">
        <v>55</v>
      </c>
      <c r="E301" t="s">
        <v>56</v>
      </c>
      <c r="F301" t="s">
        <v>50</v>
      </c>
      <c r="G301" t="s">
        <v>41</v>
      </c>
      <c r="H301" t="s">
        <v>42</v>
      </c>
      <c r="I301" t="s">
        <v>43</v>
      </c>
      <c r="J301" t="s">
        <v>44</v>
      </c>
      <c r="K301" t="s">
        <v>143</v>
      </c>
      <c r="L301" t="s">
        <v>144</v>
      </c>
      <c r="M301" s="4">
        <v>18.52</v>
      </c>
      <c r="N301">
        <v>7</v>
      </c>
      <c r="O301" s="5">
        <v>0.1</v>
      </c>
      <c r="P301" s="4">
        <v>116.7</v>
      </c>
      <c r="Q301" s="4">
        <v>11.32</v>
      </c>
    </row>
    <row r="302" spans="1:17">
      <c r="A302" t="s">
        <v>431</v>
      </c>
      <c r="B302" s="3">
        <v>45921</v>
      </c>
      <c r="C302" s="3">
        <v>45928</v>
      </c>
      <c r="D302" t="s">
        <v>71</v>
      </c>
      <c r="E302" t="s">
        <v>72</v>
      </c>
      <c r="F302" t="s">
        <v>66</v>
      </c>
      <c r="G302" t="s">
        <v>78</v>
      </c>
      <c r="H302" t="s">
        <v>79</v>
      </c>
      <c r="I302" t="s">
        <v>80</v>
      </c>
      <c r="J302" t="s">
        <v>60</v>
      </c>
      <c r="K302" t="s">
        <v>128</v>
      </c>
      <c r="L302" t="s">
        <v>129</v>
      </c>
      <c r="M302" s="4">
        <v>269.42</v>
      </c>
      <c r="N302">
        <v>3</v>
      </c>
      <c r="O302" s="5">
        <v>0</v>
      </c>
      <c r="P302" s="4">
        <v>808.27</v>
      </c>
      <c r="Q302" s="4">
        <v>142.82</v>
      </c>
    </row>
    <row r="303" spans="1:17">
      <c r="A303" t="s">
        <v>432</v>
      </c>
      <c r="B303" s="3">
        <v>45674</v>
      </c>
      <c r="C303" s="3">
        <v>45678</v>
      </c>
      <c r="D303" t="s">
        <v>38</v>
      </c>
      <c r="E303" t="s">
        <v>39</v>
      </c>
      <c r="F303" t="s">
        <v>50</v>
      </c>
      <c r="G303" t="s">
        <v>41</v>
      </c>
      <c r="H303" t="s">
        <v>42</v>
      </c>
      <c r="I303" t="s">
        <v>43</v>
      </c>
      <c r="J303" t="s">
        <v>51</v>
      </c>
      <c r="K303" t="s">
        <v>125</v>
      </c>
      <c r="L303" t="s">
        <v>126</v>
      </c>
      <c r="M303" s="4">
        <v>884.79</v>
      </c>
      <c r="N303">
        <v>1</v>
      </c>
      <c r="O303" s="5">
        <v>0</v>
      </c>
      <c r="P303" s="4">
        <v>884.79</v>
      </c>
      <c r="Q303" s="4">
        <v>104.84</v>
      </c>
    </row>
    <row r="304" spans="1:17">
      <c r="A304" t="s">
        <v>433</v>
      </c>
      <c r="B304" s="3">
        <v>45848</v>
      </c>
      <c r="C304" s="3">
        <v>45852</v>
      </c>
      <c r="D304" t="s">
        <v>38</v>
      </c>
      <c r="E304" t="s">
        <v>39</v>
      </c>
      <c r="F304" t="s">
        <v>50</v>
      </c>
      <c r="G304" t="s">
        <v>78</v>
      </c>
      <c r="H304" t="s">
        <v>79</v>
      </c>
      <c r="I304" t="s">
        <v>80</v>
      </c>
      <c r="J304" t="s">
        <v>60</v>
      </c>
      <c r="K304" t="s">
        <v>73</v>
      </c>
      <c r="L304" t="s">
        <v>74</v>
      </c>
      <c r="M304" s="4">
        <v>425.92</v>
      </c>
      <c r="N304">
        <v>8</v>
      </c>
      <c r="O304" s="5">
        <v>0</v>
      </c>
      <c r="P304" s="4">
        <v>3407.36</v>
      </c>
      <c r="Q304" s="4">
        <v>574.64</v>
      </c>
    </row>
    <row r="305" spans="1:17">
      <c r="A305" t="s">
        <v>434</v>
      </c>
      <c r="B305" s="3">
        <v>45672</v>
      </c>
      <c r="C305" s="3">
        <v>45676</v>
      </c>
      <c r="D305" t="s">
        <v>105</v>
      </c>
      <c r="E305" t="s">
        <v>106</v>
      </c>
      <c r="F305" t="s">
        <v>66</v>
      </c>
      <c r="G305" t="s">
        <v>57</v>
      </c>
      <c r="H305" t="s">
        <v>58</v>
      </c>
      <c r="I305" t="s">
        <v>59</v>
      </c>
      <c r="J305" t="s">
        <v>60</v>
      </c>
      <c r="K305" t="s">
        <v>73</v>
      </c>
      <c r="L305" t="s">
        <v>74</v>
      </c>
      <c r="M305" s="4">
        <v>417.6</v>
      </c>
      <c r="N305">
        <v>1</v>
      </c>
      <c r="O305" s="5">
        <v>0</v>
      </c>
      <c r="P305" s="4">
        <v>417.6</v>
      </c>
      <c r="Q305" s="4">
        <v>102.29</v>
      </c>
    </row>
    <row r="306" spans="1:17">
      <c r="A306" t="s">
        <v>435</v>
      </c>
      <c r="B306" s="3">
        <v>45991</v>
      </c>
      <c r="C306" s="3">
        <v>45995</v>
      </c>
      <c r="D306" t="s">
        <v>93</v>
      </c>
      <c r="E306" t="s">
        <v>94</v>
      </c>
      <c r="F306" t="s">
        <v>50</v>
      </c>
      <c r="G306" t="s">
        <v>85</v>
      </c>
      <c r="H306" t="s">
        <v>86</v>
      </c>
      <c r="I306" t="s">
        <v>87</v>
      </c>
      <c r="J306" t="s">
        <v>60</v>
      </c>
      <c r="K306" t="s">
        <v>116</v>
      </c>
      <c r="L306" t="s">
        <v>117</v>
      </c>
      <c r="M306" s="4">
        <v>549.15</v>
      </c>
      <c r="N306">
        <v>1</v>
      </c>
      <c r="O306" s="5">
        <v>0.2</v>
      </c>
      <c r="P306" s="4">
        <v>439.32</v>
      </c>
      <c r="Q306" s="4">
        <v>-48.83</v>
      </c>
    </row>
    <row r="307" spans="1:17">
      <c r="A307" t="s">
        <v>436</v>
      </c>
      <c r="B307" s="3">
        <v>45814</v>
      </c>
      <c r="C307" s="3">
        <v>45820</v>
      </c>
      <c r="D307" t="s">
        <v>158</v>
      </c>
      <c r="E307" t="s">
        <v>159</v>
      </c>
      <c r="F307" t="s">
        <v>50</v>
      </c>
      <c r="G307" t="s">
        <v>85</v>
      </c>
      <c r="H307" t="s">
        <v>86</v>
      </c>
      <c r="I307" t="s">
        <v>87</v>
      </c>
      <c r="J307" t="s">
        <v>51</v>
      </c>
      <c r="K307" t="s">
        <v>52</v>
      </c>
      <c r="L307" t="s">
        <v>81</v>
      </c>
      <c r="M307" s="4">
        <v>75.540000000000006</v>
      </c>
      <c r="N307">
        <v>5</v>
      </c>
      <c r="O307" s="5">
        <v>0.05</v>
      </c>
      <c r="P307" s="4">
        <v>358.8</v>
      </c>
      <c r="Q307" s="4">
        <v>94.33</v>
      </c>
    </row>
    <row r="308" spans="1:17">
      <c r="A308" t="s">
        <v>437</v>
      </c>
      <c r="B308" s="3">
        <v>45861</v>
      </c>
      <c r="C308" s="3">
        <v>45866</v>
      </c>
      <c r="D308" t="s">
        <v>158</v>
      </c>
      <c r="E308" t="s">
        <v>159</v>
      </c>
      <c r="F308" t="s">
        <v>66</v>
      </c>
      <c r="G308" t="s">
        <v>85</v>
      </c>
      <c r="H308" t="s">
        <v>86</v>
      </c>
      <c r="I308" t="s">
        <v>160</v>
      </c>
      <c r="J308" t="s">
        <v>60</v>
      </c>
      <c r="K308" t="s">
        <v>61</v>
      </c>
      <c r="L308" t="s">
        <v>96</v>
      </c>
      <c r="M308" s="4">
        <v>90.21</v>
      </c>
      <c r="N308">
        <v>2</v>
      </c>
      <c r="O308" s="5">
        <v>0</v>
      </c>
      <c r="P308" s="4">
        <v>180.41</v>
      </c>
      <c r="Q308" s="4">
        <v>38.89</v>
      </c>
    </row>
    <row r="309" spans="1:17">
      <c r="A309" t="s">
        <v>438</v>
      </c>
      <c r="B309" s="3">
        <v>45810</v>
      </c>
      <c r="C309" s="3">
        <v>45816</v>
      </c>
      <c r="D309" t="s">
        <v>105</v>
      </c>
      <c r="E309" t="s">
        <v>106</v>
      </c>
      <c r="F309" t="s">
        <v>40</v>
      </c>
      <c r="G309" t="s">
        <v>57</v>
      </c>
      <c r="H309" t="s">
        <v>58</v>
      </c>
      <c r="I309" t="s">
        <v>67</v>
      </c>
      <c r="J309" t="s">
        <v>60</v>
      </c>
      <c r="K309" t="s">
        <v>61</v>
      </c>
      <c r="L309" t="s">
        <v>96</v>
      </c>
      <c r="M309" s="4">
        <v>82.15</v>
      </c>
      <c r="N309">
        <v>2</v>
      </c>
      <c r="O309" s="5">
        <v>0.05</v>
      </c>
      <c r="P309" s="4">
        <v>156.08000000000001</v>
      </c>
      <c r="Q309" s="4">
        <v>46.37</v>
      </c>
    </row>
    <row r="310" spans="1:17">
      <c r="A310" t="s">
        <v>439</v>
      </c>
      <c r="B310" s="3">
        <v>45734</v>
      </c>
      <c r="C310" s="3">
        <v>45739</v>
      </c>
      <c r="D310" t="s">
        <v>163</v>
      </c>
      <c r="E310" t="s">
        <v>164</v>
      </c>
      <c r="F310" t="s">
        <v>40</v>
      </c>
      <c r="G310" t="s">
        <v>57</v>
      </c>
      <c r="H310" t="s">
        <v>58</v>
      </c>
      <c r="I310" t="s">
        <v>91</v>
      </c>
      <c r="J310" t="s">
        <v>60</v>
      </c>
      <c r="K310" t="s">
        <v>128</v>
      </c>
      <c r="L310" t="s">
        <v>129</v>
      </c>
      <c r="M310" s="4">
        <v>297.10000000000002</v>
      </c>
      <c r="N310">
        <v>4</v>
      </c>
      <c r="O310" s="5">
        <v>0</v>
      </c>
      <c r="P310" s="4">
        <v>1188.42</v>
      </c>
      <c r="Q310" s="4">
        <v>297.81</v>
      </c>
    </row>
    <row r="311" spans="1:17">
      <c r="A311" t="s">
        <v>440</v>
      </c>
      <c r="B311" s="3">
        <v>45809</v>
      </c>
      <c r="C311" s="3">
        <v>45812</v>
      </c>
      <c r="D311" t="s">
        <v>121</v>
      </c>
      <c r="E311" t="s">
        <v>122</v>
      </c>
      <c r="F311" t="s">
        <v>50</v>
      </c>
      <c r="G311" t="s">
        <v>57</v>
      </c>
      <c r="H311" t="s">
        <v>58</v>
      </c>
      <c r="I311" t="s">
        <v>67</v>
      </c>
      <c r="J311" t="s">
        <v>60</v>
      </c>
      <c r="K311" t="s">
        <v>73</v>
      </c>
      <c r="L311" t="s">
        <v>74</v>
      </c>
      <c r="M311" s="4">
        <v>381.29</v>
      </c>
      <c r="N311">
        <v>7</v>
      </c>
      <c r="O311" s="5">
        <v>0.05</v>
      </c>
      <c r="P311" s="4">
        <v>2535.5500000000002</v>
      </c>
      <c r="Q311" s="4">
        <v>149.16999999999999</v>
      </c>
    </row>
    <row r="312" spans="1:17">
      <c r="A312" t="s">
        <v>441</v>
      </c>
      <c r="B312" s="3">
        <v>45984</v>
      </c>
      <c r="C312" s="3">
        <v>45991</v>
      </c>
      <c r="D312" t="s">
        <v>64</v>
      </c>
      <c r="E312" t="s">
        <v>65</v>
      </c>
      <c r="F312" t="s">
        <v>40</v>
      </c>
      <c r="G312" t="s">
        <v>85</v>
      </c>
      <c r="H312" t="s">
        <v>86</v>
      </c>
      <c r="I312" t="s">
        <v>160</v>
      </c>
      <c r="J312" t="s">
        <v>60</v>
      </c>
      <c r="K312" t="s">
        <v>116</v>
      </c>
      <c r="L312" t="s">
        <v>117</v>
      </c>
      <c r="M312" s="4">
        <v>505.28</v>
      </c>
      <c r="N312">
        <v>8</v>
      </c>
      <c r="O312" s="5">
        <v>0.15</v>
      </c>
      <c r="P312" s="4">
        <v>3435.93</v>
      </c>
      <c r="Q312" s="4">
        <v>429.66</v>
      </c>
    </row>
    <row r="313" spans="1:17">
      <c r="A313" t="s">
        <v>442</v>
      </c>
      <c r="B313" s="3">
        <v>45944</v>
      </c>
      <c r="C313" s="3">
        <v>45951</v>
      </c>
      <c r="D313" t="s">
        <v>93</v>
      </c>
      <c r="E313" t="s">
        <v>94</v>
      </c>
      <c r="F313" t="s">
        <v>50</v>
      </c>
      <c r="G313" t="s">
        <v>85</v>
      </c>
      <c r="H313" t="s">
        <v>86</v>
      </c>
      <c r="I313" t="s">
        <v>160</v>
      </c>
      <c r="J313" t="s">
        <v>44</v>
      </c>
      <c r="K313" t="s">
        <v>45</v>
      </c>
      <c r="L313" t="s">
        <v>46</v>
      </c>
      <c r="M313" s="4">
        <v>8.64</v>
      </c>
      <c r="N313">
        <v>3</v>
      </c>
      <c r="O313" s="5">
        <v>0.15</v>
      </c>
      <c r="P313" s="4">
        <v>22.03</v>
      </c>
      <c r="Q313" s="4">
        <v>4.71</v>
      </c>
    </row>
    <row r="314" spans="1:17">
      <c r="A314" t="s">
        <v>443</v>
      </c>
      <c r="B314" s="3">
        <v>45791</v>
      </c>
      <c r="C314" s="3">
        <v>45796</v>
      </c>
      <c r="D314" t="s">
        <v>76</v>
      </c>
      <c r="E314" t="s">
        <v>77</v>
      </c>
      <c r="F314" t="s">
        <v>66</v>
      </c>
      <c r="G314" t="s">
        <v>85</v>
      </c>
      <c r="H314" t="s">
        <v>86</v>
      </c>
      <c r="I314" t="s">
        <v>87</v>
      </c>
      <c r="J314" t="s">
        <v>44</v>
      </c>
      <c r="K314" t="s">
        <v>165</v>
      </c>
      <c r="L314" t="s">
        <v>166</v>
      </c>
      <c r="M314" s="4">
        <v>16.05</v>
      </c>
      <c r="N314">
        <v>5</v>
      </c>
      <c r="O314" s="5">
        <v>0.05</v>
      </c>
      <c r="P314" s="4">
        <v>76.25</v>
      </c>
      <c r="Q314" s="4">
        <v>12.78</v>
      </c>
    </row>
    <row r="315" spans="1:17">
      <c r="A315" t="s">
        <v>444</v>
      </c>
      <c r="B315" s="3">
        <v>45929</v>
      </c>
      <c r="C315" s="3">
        <v>45932</v>
      </c>
      <c r="D315" t="s">
        <v>154</v>
      </c>
      <c r="E315" t="s">
        <v>155</v>
      </c>
      <c r="F315" t="s">
        <v>50</v>
      </c>
      <c r="G315" t="s">
        <v>41</v>
      </c>
      <c r="H315" t="s">
        <v>42</v>
      </c>
      <c r="I315" t="s">
        <v>119</v>
      </c>
      <c r="J315" t="s">
        <v>60</v>
      </c>
      <c r="K315" t="s">
        <v>73</v>
      </c>
      <c r="L315" t="s">
        <v>74</v>
      </c>
      <c r="M315" s="4">
        <v>418.93</v>
      </c>
      <c r="N315">
        <v>7</v>
      </c>
      <c r="O315" s="5">
        <v>0</v>
      </c>
      <c r="P315" s="4">
        <v>2932.48</v>
      </c>
      <c r="Q315" s="4">
        <v>257.16000000000003</v>
      </c>
    </row>
    <row r="316" spans="1:17">
      <c r="A316" t="s">
        <v>445</v>
      </c>
      <c r="B316" s="3">
        <v>45750</v>
      </c>
      <c r="C316" s="3">
        <v>45757</v>
      </c>
      <c r="D316" t="s">
        <v>55</v>
      </c>
      <c r="E316" t="s">
        <v>56</v>
      </c>
      <c r="F316" t="s">
        <v>40</v>
      </c>
      <c r="G316" t="s">
        <v>57</v>
      </c>
      <c r="H316" t="s">
        <v>58</v>
      </c>
      <c r="I316" t="s">
        <v>91</v>
      </c>
      <c r="J316" t="s">
        <v>44</v>
      </c>
      <c r="K316" t="s">
        <v>45</v>
      </c>
      <c r="L316" t="s">
        <v>46</v>
      </c>
      <c r="M316" s="4">
        <v>7.73</v>
      </c>
      <c r="N316">
        <v>2</v>
      </c>
      <c r="O316" s="5">
        <v>0.05</v>
      </c>
      <c r="P316" s="4">
        <v>14.69</v>
      </c>
      <c r="Q316" s="4">
        <v>4.3600000000000003</v>
      </c>
    </row>
    <row r="317" spans="1:17">
      <c r="A317" t="s">
        <v>446</v>
      </c>
      <c r="B317" s="3">
        <v>45953</v>
      </c>
      <c r="C317" s="3">
        <v>45960</v>
      </c>
      <c r="D317" t="s">
        <v>132</v>
      </c>
      <c r="E317" t="s">
        <v>133</v>
      </c>
      <c r="F317" t="s">
        <v>66</v>
      </c>
      <c r="G317" t="s">
        <v>41</v>
      </c>
      <c r="H317" t="s">
        <v>42</v>
      </c>
      <c r="I317" t="s">
        <v>43</v>
      </c>
      <c r="J317" t="s">
        <v>44</v>
      </c>
      <c r="K317" t="s">
        <v>45</v>
      </c>
      <c r="L317" t="s">
        <v>46</v>
      </c>
      <c r="M317" s="4">
        <v>8.4600000000000009</v>
      </c>
      <c r="N317">
        <v>3</v>
      </c>
      <c r="O317" s="5">
        <v>0.05</v>
      </c>
      <c r="P317" s="4">
        <v>24.1</v>
      </c>
      <c r="Q317" s="4">
        <v>5.9</v>
      </c>
    </row>
    <row r="318" spans="1:17">
      <c r="A318" t="s">
        <v>447</v>
      </c>
      <c r="B318" s="3">
        <v>45854</v>
      </c>
      <c r="C318" s="3">
        <v>45855</v>
      </c>
      <c r="D318" t="s">
        <v>121</v>
      </c>
      <c r="E318" t="s">
        <v>122</v>
      </c>
      <c r="F318" t="s">
        <v>66</v>
      </c>
      <c r="G318" t="s">
        <v>78</v>
      </c>
      <c r="H318" t="s">
        <v>79</v>
      </c>
      <c r="I318" t="s">
        <v>80</v>
      </c>
      <c r="J318" t="s">
        <v>44</v>
      </c>
      <c r="K318" t="s">
        <v>143</v>
      </c>
      <c r="L318" t="s">
        <v>144</v>
      </c>
      <c r="M318" s="4">
        <v>16.920000000000002</v>
      </c>
      <c r="N318">
        <v>1</v>
      </c>
      <c r="O318" s="5">
        <v>0.1</v>
      </c>
      <c r="P318" s="4">
        <v>15.23</v>
      </c>
      <c r="Q318" s="4">
        <v>-0.8</v>
      </c>
    </row>
    <row r="319" spans="1:17">
      <c r="A319" t="s">
        <v>448</v>
      </c>
      <c r="B319" s="3">
        <v>46013</v>
      </c>
      <c r="C319" s="3">
        <v>46016</v>
      </c>
      <c r="D319" t="s">
        <v>38</v>
      </c>
      <c r="E319" t="s">
        <v>39</v>
      </c>
      <c r="F319" t="s">
        <v>40</v>
      </c>
      <c r="G319" t="s">
        <v>85</v>
      </c>
      <c r="H319" t="s">
        <v>86</v>
      </c>
      <c r="I319" t="s">
        <v>95</v>
      </c>
      <c r="J319" t="s">
        <v>51</v>
      </c>
      <c r="K319" t="s">
        <v>52</v>
      </c>
      <c r="L319" t="s">
        <v>53</v>
      </c>
      <c r="M319" s="4">
        <v>41.42</v>
      </c>
      <c r="N319">
        <v>5</v>
      </c>
      <c r="O319" s="5">
        <v>0</v>
      </c>
      <c r="P319" s="4">
        <v>207.12</v>
      </c>
      <c r="Q319" s="4">
        <v>36.42</v>
      </c>
    </row>
    <row r="320" spans="1:17">
      <c r="A320" t="s">
        <v>449</v>
      </c>
      <c r="B320" s="3">
        <v>45963</v>
      </c>
      <c r="C320" s="3">
        <v>45968</v>
      </c>
      <c r="D320" t="s">
        <v>48</v>
      </c>
      <c r="E320" t="s">
        <v>49</v>
      </c>
      <c r="F320" t="s">
        <v>66</v>
      </c>
      <c r="G320" t="s">
        <v>41</v>
      </c>
      <c r="H320" t="s">
        <v>42</v>
      </c>
      <c r="I320" t="s">
        <v>43</v>
      </c>
      <c r="J320" t="s">
        <v>44</v>
      </c>
      <c r="K320" t="s">
        <v>143</v>
      </c>
      <c r="L320" t="s">
        <v>144</v>
      </c>
      <c r="M320" s="4">
        <v>19.399999999999999</v>
      </c>
      <c r="N320">
        <v>6</v>
      </c>
      <c r="O320" s="5">
        <v>0.05</v>
      </c>
      <c r="P320" s="4">
        <v>110.56</v>
      </c>
      <c r="Q320" s="4">
        <v>33.04</v>
      </c>
    </row>
    <row r="321" spans="1:17">
      <c r="A321" t="s">
        <v>450</v>
      </c>
      <c r="B321" s="3">
        <v>45774</v>
      </c>
      <c r="C321" s="3">
        <v>45776</v>
      </c>
      <c r="D321" t="s">
        <v>221</v>
      </c>
      <c r="E321" t="s">
        <v>222</v>
      </c>
      <c r="F321" t="s">
        <v>50</v>
      </c>
      <c r="G321" t="s">
        <v>78</v>
      </c>
      <c r="H321" t="s">
        <v>79</v>
      </c>
      <c r="I321" t="s">
        <v>124</v>
      </c>
      <c r="J321" t="s">
        <v>51</v>
      </c>
      <c r="K321" t="s">
        <v>68</v>
      </c>
      <c r="L321" t="s">
        <v>69</v>
      </c>
      <c r="M321" s="4">
        <v>1517.88</v>
      </c>
      <c r="N321">
        <v>3</v>
      </c>
      <c r="O321" s="5">
        <v>0</v>
      </c>
      <c r="P321" s="4">
        <v>4553.6499999999996</v>
      </c>
      <c r="Q321" s="4">
        <v>899</v>
      </c>
    </row>
    <row r="322" spans="1:17">
      <c r="A322" t="s">
        <v>451</v>
      </c>
      <c r="B322" s="3">
        <v>45931</v>
      </c>
      <c r="C322" s="3">
        <v>45936</v>
      </c>
      <c r="D322" t="s">
        <v>93</v>
      </c>
      <c r="E322" t="s">
        <v>94</v>
      </c>
      <c r="F322" t="s">
        <v>40</v>
      </c>
      <c r="G322" t="s">
        <v>57</v>
      </c>
      <c r="H322" t="s">
        <v>58</v>
      </c>
      <c r="I322" t="s">
        <v>67</v>
      </c>
      <c r="J322" t="s">
        <v>51</v>
      </c>
      <c r="K322" t="s">
        <v>68</v>
      </c>
      <c r="L322" t="s">
        <v>69</v>
      </c>
      <c r="M322" s="4">
        <v>1593.46</v>
      </c>
      <c r="N322">
        <v>1</v>
      </c>
      <c r="O322" s="5">
        <v>0.1</v>
      </c>
      <c r="P322" s="4">
        <v>1434.11</v>
      </c>
      <c r="Q322" s="4">
        <v>309.04000000000002</v>
      </c>
    </row>
    <row r="323" spans="1:17">
      <c r="A323" t="s">
        <v>452</v>
      </c>
      <c r="B323" s="3">
        <v>45852</v>
      </c>
      <c r="C323" s="3">
        <v>45853</v>
      </c>
      <c r="D323" t="s">
        <v>83</v>
      </c>
      <c r="E323" t="s">
        <v>84</v>
      </c>
      <c r="F323" t="s">
        <v>40</v>
      </c>
      <c r="G323" t="s">
        <v>41</v>
      </c>
      <c r="H323" t="s">
        <v>42</v>
      </c>
      <c r="I323" t="s">
        <v>43</v>
      </c>
      <c r="J323" t="s">
        <v>51</v>
      </c>
      <c r="K323" t="s">
        <v>68</v>
      </c>
      <c r="L323" t="s">
        <v>69</v>
      </c>
      <c r="M323" s="4">
        <v>1508.54</v>
      </c>
      <c r="N323">
        <v>5</v>
      </c>
      <c r="O323" s="5">
        <v>0.05</v>
      </c>
      <c r="P323" s="4">
        <v>7165.57</v>
      </c>
      <c r="Q323" s="4">
        <v>726.4</v>
      </c>
    </row>
    <row r="324" spans="1:17">
      <c r="A324" t="s">
        <v>453</v>
      </c>
      <c r="B324" s="3">
        <v>45796</v>
      </c>
      <c r="C324" s="3">
        <v>45801</v>
      </c>
      <c r="D324" t="s">
        <v>48</v>
      </c>
      <c r="E324" t="s">
        <v>49</v>
      </c>
      <c r="F324" t="s">
        <v>66</v>
      </c>
      <c r="G324" t="s">
        <v>41</v>
      </c>
      <c r="H324" t="s">
        <v>42</v>
      </c>
      <c r="I324" t="s">
        <v>119</v>
      </c>
      <c r="J324" t="s">
        <v>60</v>
      </c>
      <c r="K324" t="s">
        <v>73</v>
      </c>
      <c r="L324" t="s">
        <v>74</v>
      </c>
      <c r="M324" s="4">
        <v>415.79</v>
      </c>
      <c r="N324">
        <v>3</v>
      </c>
      <c r="O324" s="5">
        <v>0.05</v>
      </c>
      <c r="P324" s="4">
        <v>1185</v>
      </c>
      <c r="Q324" s="4">
        <v>90.33</v>
      </c>
    </row>
    <row r="325" spans="1:17">
      <c r="A325" t="s">
        <v>454</v>
      </c>
      <c r="B325" s="3">
        <v>45969</v>
      </c>
      <c r="C325" s="3">
        <v>45971</v>
      </c>
      <c r="D325" t="s">
        <v>163</v>
      </c>
      <c r="E325" t="s">
        <v>164</v>
      </c>
      <c r="F325" t="s">
        <v>50</v>
      </c>
      <c r="G325" t="s">
        <v>41</v>
      </c>
      <c r="H325" t="s">
        <v>42</v>
      </c>
      <c r="I325" t="s">
        <v>119</v>
      </c>
      <c r="J325" t="s">
        <v>51</v>
      </c>
      <c r="K325" t="s">
        <v>68</v>
      </c>
      <c r="L325" t="s">
        <v>69</v>
      </c>
      <c r="M325" s="4">
        <v>1456.71</v>
      </c>
      <c r="N325">
        <v>5</v>
      </c>
      <c r="O325" s="5">
        <v>0.2</v>
      </c>
      <c r="P325" s="4">
        <v>5826.85</v>
      </c>
      <c r="Q325" s="4">
        <v>585.12</v>
      </c>
    </row>
    <row r="326" spans="1:17">
      <c r="A326" t="s">
        <v>455</v>
      </c>
      <c r="B326" s="3">
        <v>46010</v>
      </c>
      <c r="C326" s="3">
        <v>46014</v>
      </c>
      <c r="D326" t="s">
        <v>163</v>
      </c>
      <c r="E326" t="s">
        <v>164</v>
      </c>
      <c r="F326" t="s">
        <v>50</v>
      </c>
      <c r="G326" t="s">
        <v>57</v>
      </c>
      <c r="H326" t="s">
        <v>58</v>
      </c>
      <c r="I326" t="s">
        <v>59</v>
      </c>
      <c r="J326" t="s">
        <v>60</v>
      </c>
      <c r="K326" t="s">
        <v>61</v>
      </c>
      <c r="L326" t="s">
        <v>62</v>
      </c>
      <c r="M326" s="4">
        <v>58.54</v>
      </c>
      <c r="N326">
        <v>6</v>
      </c>
      <c r="O326" s="5">
        <v>0</v>
      </c>
      <c r="P326" s="4">
        <v>351.21</v>
      </c>
      <c r="Q326" s="4">
        <v>76.53</v>
      </c>
    </row>
    <row r="327" spans="1:17">
      <c r="A327" t="s">
        <v>456</v>
      </c>
      <c r="B327" s="3">
        <v>45789</v>
      </c>
      <c r="C327" s="3">
        <v>45795</v>
      </c>
      <c r="D327" t="s">
        <v>108</v>
      </c>
      <c r="E327" t="s">
        <v>109</v>
      </c>
      <c r="F327" t="s">
        <v>50</v>
      </c>
      <c r="G327" t="s">
        <v>78</v>
      </c>
      <c r="H327" t="s">
        <v>79</v>
      </c>
      <c r="I327" t="s">
        <v>135</v>
      </c>
      <c r="J327" t="s">
        <v>60</v>
      </c>
      <c r="K327" t="s">
        <v>73</v>
      </c>
      <c r="L327" t="s">
        <v>74</v>
      </c>
      <c r="M327" s="4">
        <v>428.12</v>
      </c>
      <c r="N327">
        <v>4</v>
      </c>
      <c r="O327" s="5">
        <v>0.05</v>
      </c>
      <c r="P327" s="4">
        <v>1626.84</v>
      </c>
      <c r="Q327" s="4">
        <v>201.74</v>
      </c>
    </row>
    <row r="328" spans="1:17">
      <c r="A328" t="s">
        <v>457</v>
      </c>
      <c r="B328" s="3">
        <v>45876</v>
      </c>
      <c r="C328" s="3">
        <v>45882</v>
      </c>
      <c r="D328" t="s">
        <v>55</v>
      </c>
      <c r="E328" t="s">
        <v>56</v>
      </c>
      <c r="F328" t="s">
        <v>50</v>
      </c>
      <c r="G328" t="s">
        <v>41</v>
      </c>
      <c r="H328" t="s">
        <v>42</v>
      </c>
      <c r="I328" t="s">
        <v>43</v>
      </c>
      <c r="J328" t="s">
        <v>44</v>
      </c>
      <c r="K328" t="s">
        <v>165</v>
      </c>
      <c r="L328" t="s">
        <v>166</v>
      </c>
      <c r="M328" s="4">
        <v>16.05</v>
      </c>
      <c r="N328">
        <v>2</v>
      </c>
      <c r="O328" s="5">
        <v>0</v>
      </c>
      <c r="P328" s="4">
        <v>32.11</v>
      </c>
      <c r="Q328" s="4">
        <v>-1.0900000000000001</v>
      </c>
    </row>
    <row r="329" spans="1:17">
      <c r="A329" t="s">
        <v>458</v>
      </c>
      <c r="B329" s="3">
        <v>45705</v>
      </c>
      <c r="C329" s="3">
        <v>45708</v>
      </c>
      <c r="D329" t="s">
        <v>93</v>
      </c>
      <c r="E329" t="s">
        <v>94</v>
      </c>
      <c r="F329" t="s">
        <v>66</v>
      </c>
      <c r="G329" t="s">
        <v>85</v>
      </c>
      <c r="H329" t="s">
        <v>86</v>
      </c>
      <c r="I329" t="s">
        <v>160</v>
      </c>
      <c r="J329" t="s">
        <v>44</v>
      </c>
      <c r="K329" t="s">
        <v>140</v>
      </c>
      <c r="L329" t="s">
        <v>141</v>
      </c>
      <c r="M329" s="4">
        <v>23.07</v>
      </c>
      <c r="N329">
        <v>6</v>
      </c>
      <c r="O329" s="5">
        <v>0</v>
      </c>
      <c r="P329" s="4">
        <v>138.41</v>
      </c>
      <c r="Q329" s="4">
        <v>20.77</v>
      </c>
    </row>
    <row r="330" spans="1:17">
      <c r="A330" t="s">
        <v>459</v>
      </c>
      <c r="B330" s="3">
        <v>45725</v>
      </c>
      <c r="C330" s="3">
        <v>45731</v>
      </c>
      <c r="D330" t="s">
        <v>108</v>
      </c>
      <c r="E330" t="s">
        <v>109</v>
      </c>
      <c r="F330" t="s">
        <v>66</v>
      </c>
      <c r="G330" t="s">
        <v>78</v>
      </c>
      <c r="H330" t="s">
        <v>79</v>
      </c>
      <c r="I330" t="s">
        <v>80</v>
      </c>
      <c r="J330" t="s">
        <v>44</v>
      </c>
      <c r="K330" t="s">
        <v>45</v>
      </c>
      <c r="L330" t="s">
        <v>46</v>
      </c>
      <c r="M330" s="4">
        <v>7.46</v>
      </c>
      <c r="N330">
        <v>1</v>
      </c>
      <c r="O330" s="5">
        <v>0.2</v>
      </c>
      <c r="P330" s="4">
        <v>5.96</v>
      </c>
      <c r="Q330" s="4">
        <v>0.92</v>
      </c>
    </row>
    <row r="331" spans="1:17">
      <c r="A331" t="s">
        <v>460</v>
      </c>
      <c r="B331" s="3">
        <v>45672</v>
      </c>
      <c r="C331" s="3">
        <v>45679</v>
      </c>
      <c r="D331" t="s">
        <v>158</v>
      </c>
      <c r="E331" t="s">
        <v>159</v>
      </c>
      <c r="F331" t="s">
        <v>40</v>
      </c>
      <c r="G331" t="s">
        <v>78</v>
      </c>
      <c r="H331" t="s">
        <v>79</v>
      </c>
      <c r="I331" t="s">
        <v>135</v>
      </c>
      <c r="J331" t="s">
        <v>44</v>
      </c>
      <c r="K331" t="s">
        <v>165</v>
      </c>
      <c r="L331" t="s">
        <v>166</v>
      </c>
      <c r="M331" s="4">
        <v>16.260000000000002</v>
      </c>
      <c r="N331">
        <v>3</v>
      </c>
      <c r="O331" s="5">
        <v>0.05</v>
      </c>
      <c r="P331" s="4">
        <v>46.34</v>
      </c>
      <c r="Q331" s="4">
        <v>3.63</v>
      </c>
    </row>
    <row r="332" spans="1:17">
      <c r="A332" t="s">
        <v>461</v>
      </c>
      <c r="B332" s="3">
        <v>46018</v>
      </c>
      <c r="C332" s="3">
        <v>46025</v>
      </c>
      <c r="D332" t="s">
        <v>221</v>
      </c>
      <c r="E332" t="s">
        <v>222</v>
      </c>
      <c r="F332" t="s">
        <v>66</v>
      </c>
      <c r="G332" t="s">
        <v>41</v>
      </c>
      <c r="H332" t="s">
        <v>42</v>
      </c>
      <c r="I332" t="s">
        <v>43</v>
      </c>
      <c r="J332" t="s">
        <v>60</v>
      </c>
      <c r="K332" t="s">
        <v>128</v>
      </c>
      <c r="L332" t="s">
        <v>129</v>
      </c>
      <c r="M332" s="4">
        <v>300.89999999999998</v>
      </c>
      <c r="N332">
        <v>4</v>
      </c>
      <c r="O332" s="5">
        <v>0.15</v>
      </c>
      <c r="P332" s="4">
        <v>1023.05</v>
      </c>
      <c r="Q332" s="4">
        <v>183.92</v>
      </c>
    </row>
    <row r="333" spans="1:17">
      <c r="A333" t="s">
        <v>462</v>
      </c>
      <c r="B333" s="3">
        <v>45835</v>
      </c>
      <c r="C333" s="3">
        <v>45841</v>
      </c>
      <c r="D333" t="s">
        <v>121</v>
      </c>
      <c r="E333" t="s">
        <v>122</v>
      </c>
      <c r="F333" t="s">
        <v>40</v>
      </c>
      <c r="G333" t="s">
        <v>41</v>
      </c>
      <c r="H333" t="s">
        <v>42</v>
      </c>
      <c r="I333" t="s">
        <v>119</v>
      </c>
      <c r="J333" t="s">
        <v>60</v>
      </c>
      <c r="K333" t="s">
        <v>116</v>
      </c>
      <c r="L333" t="s">
        <v>117</v>
      </c>
      <c r="M333" s="4">
        <v>555.26</v>
      </c>
      <c r="N333">
        <v>7</v>
      </c>
      <c r="O333" s="5">
        <v>0</v>
      </c>
      <c r="P333" s="4">
        <v>3886.82</v>
      </c>
      <c r="Q333" s="4">
        <v>736.89</v>
      </c>
    </row>
    <row r="334" spans="1:17">
      <c r="A334" t="s">
        <v>463</v>
      </c>
      <c r="B334" s="3">
        <v>45911</v>
      </c>
      <c r="C334" s="3">
        <v>45918</v>
      </c>
      <c r="D334" t="s">
        <v>121</v>
      </c>
      <c r="E334" t="s">
        <v>122</v>
      </c>
      <c r="F334" t="s">
        <v>40</v>
      </c>
      <c r="G334" t="s">
        <v>41</v>
      </c>
      <c r="H334" t="s">
        <v>42</v>
      </c>
      <c r="I334" t="s">
        <v>43</v>
      </c>
      <c r="J334" t="s">
        <v>51</v>
      </c>
      <c r="K334" t="s">
        <v>102</v>
      </c>
      <c r="L334" t="s">
        <v>103</v>
      </c>
      <c r="M334" s="4">
        <v>336.09</v>
      </c>
      <c r="N334">
        <v>3</v>
      </c>
      <c r="O334" s="5">
        <v>0</v>
      </c>
      <c r="P334" s="4">
        <v>1008.27</v>
      </c>
      <c r="Q334" s="4">
        <v>131.22999999999999</v>
      </c>
    </row>
    <row r="335" spans="1:17">
      <c r="A335" t="s">
        <v>464</v>
      </c>
      <c r="B335" s="3">
        <v>45864</v>
      </c>
      <c r="C335" s="3">
        <v>45871</v>
      </c>
      <c r="D335" t="s">
        <v>154</v>
      </c>
      <c r="E335" t="s">
        <v>155</v>
      </c>
      <c r="F335" t="s">
        <v>40</v>
      </c>
      <c r="G335" t="s">
        <v>57</v>
      </c>
      <c r="H335" t="s">
        <v>58</v>
      </c>
      <c r="I335" t="s">
        <v>59</v>
      </c>
      <c r="J335" t="s">
        <v>51</v>
      </c>
      <c r="K335" t="s">
        <v>102</v>
      </c>
      <c r="L335" t="s">
        <v>103</v>
      </c>
      <c r="M335" s="4">
        <v>317.38</v>
      </c>
      <c r="N335">
        <v>4</v>
      </c>
      <c r="O335" s="5">
        <v>0</v>
      </c>
      <c r="P335" s="4">
        <v>1269.53</v>
      </c>
      <c r="Q335" s="4">
        <v>317.77999999999997</v>
      </c>
    </row>
    <row r="336" spans="1:17">
      <c r="A336" t="s">
        <v>465</v>
      </c>
      <c r="B336" s="3">
        <v>45710</v>
      </c>
      <c r="C336" s="3">
        <v>45714</v>
      </c>
      <c r="D336" t="s">
        <v>221</v>
      </c>
      <c r="E336" t="s">
        <v>222</v>
      </c>
      <c r="F336" t="s">
        <v>66</v>
      </c>
      <c r="G336" t="s">
        <v>78</v>
      </c>
      <c r="H336" t="s">
        <v>79</v>
      </c>
      <c r="I336" t="s">
        <v>124</v>
      </c>
      <c r="J336" t="s">
        <v>51</v>
      </c>
      <c r="K336" t="s">
        <v>68</v>
      </c>
      <c r="L336" t="s">
        <v>69</v>
      </c>
      <c r="M336" s="4">
        <v>1466.57</v>
      </c>
      <c r="N336">
        <v>7</v>
      </c>
      <c r="O336" s="5">
        <v>0</v>
      </c>
      <c r="P336" s="4">
        <v>10265.98</v>
      </c>
      <c r="Q336" s="4">
        <v>513.73</v>
      </c>
    </row>
    <row r="337" spans="1:17">
      <c r="A337" t="s">
        <v>466</v>
      </c>
      <c r="B337" s="3">
        <v>45844</v>
      </c>
      <c r="C337" s="3">
        <v>45851</v>
      </c>
      <c r="D337" t="s">
        <v>55</v>
      </c>
      <c r="E337" t="s">
        <v>56</v>
      </c>
      <c r="F337" t="s">
        <v>40</v>
      </c>
      <c r="G337" t="s">
        <v>57</v>
      </c>
      <c r="H337" t="s">
        <v>58</v>
      </c>
      <c r="I337" t="s">
        <v>67</v>
      </c>
      <c r="J337" t="s">
        <v>51</v>
      </c>
      <c r="K337" t="s">
        <v>68</v>
      </c>
      <c r="L337" t="s">
        <v>69</v>
      </c>
      <c r="M337" s="4">
        <v>1369.65</v>
      </c>
      <c r="N337">
        <v>1</v>
      </c>
      <c r="O337" s="5">
        <v>0.2</v>
      </c>
      <c r="P337" s="4">
        <v>1095.72</v>
      </c>
      <c r="Q337" s="4">
        <v>179.28</v>
      </c>
    </row>
    <row r="338" spans="1:17">
      <c r="A338" t="s">
        <v>467</v>
      </c>
      <c r="B338" s="3">
        <v>45707</v>
      </c>
      <c r="C338" s="3">
        <v>45714</v>
      </c>
      <c r="D338" t="s">
        <v>108</v>
      </c>
      <c r="E338" t="s">
        <v>109</v>
      </c>
      <c r="F338" t="s">
        <v>40</v>
      </c>
      <c r="G338" t="s">
        <v>78</v>
      </c>
      <c r="H338" t="s">
        <v>79</v>
      </c>
      <c r="I338" t="s">
        <v>80</v>
      </c>
      <c r="J338" t="s">
        <v>44</v>
      </c>
      <c r="K338" t="s">
        <v>143</v>
      </c>
      <c r="L338" t="s">
        <v>144</v>
      </c>
      <c r="M338" s="4">
        <v>17.43</v>
      </c>
      <c r="N338">
        <v>4</v>
      </c>
      <c r="O338" s="5">
        <v>0</v>
      </c>
      <c r="P338" s="4">
        <v>69.72</v>
      </c>
      <c r="Q338" s="4">
        <v>17.95</v>
      </c>
    </row>
    <row r="339" spans="1:17">
      <c r="A339" t="s">
        <v>468</v>
      </c>
      <c r="B339" s="3">
        <v>45742</v>
      </c>
      <c r="C339" s="3">
        <v>45746</v>
      </c>
      <c r="D339" t="s">
        <v>71</v>
      </c>
      <c r="E339" t="s">
        <v>72</v>
      </c>
      <c r="F339" t="s">
        <v>40</v>
      </c>
      <c r="G339" t="s">
        <v>57</v>
      </c>
      <c r="H339" t="s">
        <v>58</v>
      </c>
      <c r="I339" t="s">
        <v>67</v>
      </c>
      <c r="J339" t="s">
        <v>44</v>
      </c>
      <c r="K339" t="s">
        <v>110</v>
      </c>
      <c r="L339" t="s">
        <v>111</v>
      </c>
      <c r="M339" s="4">
        <v>12.52</v>
      </c>
      <c r="N339">
        <v>3</v>
      </c>
      <c r="O339" s="5">
        <v>0.2</v>
      </c>
      <c r="P339" s="4">
        <v>30.05</v>
      </c>
      <c r="Q339" s="4">
        <v>6.92</v>
      </c>
    </row>
    <row r="340" spans="1:17">
      <c r="A340" t="s">
        <v>469</v>
      </c>
      <c r="B340" s="3">
        <v>45755</v>
      </c>
      <c r="C340" s="3">
        <v>45761</v>
      </c>
      <c r="D340" t="s">
        <v>83</v>
      </c>
      <c r="E340" t="s">
        <v>84</v>
      </c>
      <c r="F340" t="s">
        <v>50</v>
      </c>
      <c r="G340" t="s">
        <v>85</v>
      </c>
      <c r="H340" t="s">
        <v>86</v>
      </c>
      <c r="I340" t="s">
        <v>95</v>
      </c>
      <c r="J340" t="s">
        <v>44</v>
      </c>
      <c r="K340" t="s">
        <v>45</v>
      </c>
      <c r="L340" t="s">
        <v>46</v>
      </c>
      <c r="M340" s="4">
        <v>8.41</v>
      </c>
      <c r="N340">
        <v>6</v>
      </c>
      <c r="O340" s="5">
        <v>0</v>
      </c>
      <c r="P340" s="4">
        <v>50.47</v>
      </c>
      <c r="Q340" s="4">
        <v>3.11</v>
      </c>
    </row>
    <row r="341" spans="1:17">
      <c r="A341" t="s">
        <v>470</v>
      </c>
      <c r="B341" s="3">
        <v>45726</v>
      </c>
      <c r="C341" s="3">
        <v>45730</v>
      </c>
      <c r="D341" t="s">
        <v>48</v>
      </c>
      <c r="E341" t="s">
        <v>49</v>
      </c>
      <c r="F341" t="s">
        <v>66</v>
      </c>
      <c r="G341" t="s">
        <v>41</v>
      </c>
      <c r="H341" t="s">
        <v>42</v>
      </c>
      <c r="I341" t="s">
        <v>119</v>
      </c>
      <c r="J341" t="s">
        <v>60</v>
      </c>
      <c r="K341" t="s">
        <v>61</v>
      </c>
      <c r="L341" t="s">
        <v>96</v>
      </c>
      <c r="M341" s="4">
        <v>94.25</v>
      </c>
      <c r="N341">
        <v>1</v>
      </c>
      <c r="O341" s="5">
        <v>0.1</v>
      </c>
      <c r="P341" s="4">
        <v>84.83</v>
      </c>
      <c r="Q341" s="4">
        <v>15.97</v>
      </c>
    </row>
    <row r="342" spans="1:17">
      <c r="A342" t="s">
        <v>471</v>
      </c>
      <c r="B342" s="3">
        <v>45723</v>
      </c>
      <c r="C342" s="3">
        <v>45724</v>
      </c>
      <c r="D342" t="s">
        <v>132</v>
      </c>
      <c r="E342" t="s">
        <v>133</v>
      </c>
      <c r="F342" t="s">
        <v>50</v>
      </c>
      <c r="G342" t="s">
        <v>78</v>
      </c>
      <c r="H342" t="s">
        <v>79</v>
      </c>
      <c r="I342" t="s">
        <v>80</v>
      </c>
      <c r="J342" t="s">
        <v>60</v>
      </c>
      <c r="K342" t="s">
        <v>61</v>
      </c>
      <c r="L342" t="s">
        <v>96</v>
      </c>
      <c r="M342" s="4">
        <v>91.81</v>
      </c>
      <c r="N342">
        <v>7</v>
      </c>
      <c r="O342" s="5">
        <v>0.15</v>
      </c>
      <c r="P342" s="4">
        <v>546.27</v>
      </c>
      <c r="Q342" s="4">
        <v>147.86000000000001</v>
      </c>
    </row>
    <row r="343" spans="1:17">
      <c r="A343" t="s">
        <v>472</v>
      </c>
      <c r="B343" s="3">
        <v>45861</v>
      </c>
      <c r="C343" s="3">
        <v>45864</v>
      </c>
      <c r="D343" t="s">
        <v>93</v>
      </c>
      <c r="E343" t="s">
        <v>94</v>
      </c>
      <c r="F343" t="s">
        <v>40</v>
      </c>
      <c r="G343" t="s">
        <v>78</v>
      </c>
      <c r="H343" t="s">
        <v>79</v>
      </c>
      <c r="I343" t="s">
        <v>124</v>
      </c>
      <c r="J343" t="s">
        <v>60</v>
      </c>
      <c r="K343" t="s">
        <v>116</v>
      </c>
      <c r="L343" t="s">
        <v>117</v>
      </c>
      <c r="M343" s="4">
        <v>551.70000000000005</v>
      </c>
      <c r="N343">
        <v>5</v>
      </c>
      <c r="O343" s="5">
        <v>0.05</v>
      </c>
      <c r="P343" s="4">
        <v>2620.5700000000002</v>
      </c>
      <c r="Q343" s="4">
        <v>221.56</v>
      </c>
    </row>
    <row r="344" spans="1:17">
      <c r="A344" t="s">
        <v>473</v>
      </c>
      <c r="B344" s="3">
        <v>45760</v>
      </c>
      <c r="C344" s="3">
        <v>45762</v>
      </c>
      <c r="D344" t="s">
        <v>163</v>
      </c>
      <c r="E344" t="s">
        <v>164</v>
      </c>
      <c r="F344" t="s">
        <v>40</v>
      </c>
      <c r="G344" t="s">
        <v>57</v>
      </c>
      <c r="H344" t="s">
        <v>58</v>
      </c>
      <c r="I344" t="s">
        <v>67</v>
      </c>
      <c r="J344" t="s">
        <v>44</v>
      </c>
      <c r="K344" t="s">
        <v>140</v>
      </c>
      <c r="L344" t="s">
        <v>141</v>
      </c>
      <c r="M344" s="4">
        <v>24.23</v>
      </c>
      <c r="N344">
        <v>5</v>
      </c>
      <c r="O344" s="5">
        <v>0.15</v>
      </c>
      <c r="P344" s="4">
        <v>102.96</v>
      </c>
      <c r="Q344" s="4">
        <v>22.45</v>
      </c>
    </row>
    <row r="345" spans="1:17">
      <c r="A345" t="s">
        <v>474</v>
      </c>
      <c r="B345" s="3">
        <v>45838</v>
      </c>
      <c r="C345" s="3">
        <v>45843</v>
      </c>
      <c r="D345" t="s">
        <v>108</v>
      </c>
      <c r="E345" t="s">
        <v>109</v>
      </c>
      <c r="F345" t="s">
        <v>40</v>
      </c>
      <c r="G345" t="s">
        <v>85</v>
      </c>
      <c r="H345" t="s">
        <v>86</v>
      </c>
      <c r="I345" t="s">
        <v>87</v>
      </c>
      <c r="J345" t="s">
        <v>60</v>
      </c>
      <c r="K345" t="s">
        <v>128</v>
      </c>
      <c r="L345" t="s">
        <v>129</v>
      </c>
      <c r="M345" s="4">
        <v>283.95999999999998</v>
      </c>
      <c r="N345">
        <v>8</v>
      </c>
      <c r="O345" s="5">
        <v>0.1</v>
      </c>
      <c r="P345" s="4">
        <v>2044.48</v>
      </c>
      <c r="Q345" s="4">
        <v>443.22</v>
      </c>
    </row>
    <row r="346" spans="1:17">
      <c r="A346" t="s">
        <v>475</v>
      </c>
      <c r="B346" s="3">
        <v>45853</v>
      </c>
      <c r="C346" s="3">
        <v>45855</v>
      </c>
      <c r="D346" t="s">
        <v>221</v>
      </c>
      <c r="E346" t="s">
        <v>222</v>
      </c>
      <c r="F346" t="s">
        <v>50</v>
      </c>
      <c r="G346" t="s">
        <v>57</v>
      </c>
      <c r="H346" t="s">
        <v>58</v>
      </c>
      <c r="I346" t="s">
        <v>91</v>
      </c>
      <c r="J346" t="s">
        <v>60</v>
      </c>
      <c r="K346" t="s">
        <v>73</v>
      </c>
      <c r="L346" t="s">
        <v>74</v>
      </c>
      <c r="M346" s="4">
        <v>355.42</v>
      </c>
      <c r="N346">
        <v>1</v>
      </c>
      <c r="O346" s="5">
        <v>0.15</v>
      </c>
      <c r="P346" s="4">
        <v>302.10000000000002</v>
      </c>
      <c r="Q346" s="4">
        <v>35.270000000000003</v>
      </c>
    </row>
    <row r="347" spans="1:17">
      <c r="A347" t="s">
        <v>476</v>
      </c>
      <c r="B347" s="3">
        <v>45762</v>
      </c>
      <c r="C347" s="3">
        <v>45769</v>
      </c>
      <c r="D347" t="s">
        <v>105</v>
      </c>
      <c r="E347" t="s">
        <v>106</v>
      </c>
      <c r="F347" t="s">
        <v>66</v>
      </c>
      <c r="G347" t="s">
        <v>57</v>
      </c>
      <c r="H347" t="s">
        <v>58</v>
      </c>
      <c r="I347" t="s">
        <v>67</v>
      </c>
      <c r="J347" t="s">
        <v>51</v>
      </c>
      <c r="K347" t="s">
        <v>125</v>
      </c>
      <c r="L347" t="s">
        <v>126</v>
      </c>
      <c r="M347" s="4">
        <v>903.38</v>
      </c>
      <c r="N347">
        <v>1</v>
      </c>
      <c r="O347" s="5">
        <v>0</v>
      </c>
      <c r="P347" s="4">
        <v>903.38</v>
      </c>
      <c r="Q347" s="4">
        <v>68.31</v>
      </c>
    </row>
    <row r="348" spans="1:17">
      <c r="A348" t="s">
        <v>477</v>
      </c>
      <c r="B348" s="3">
        <v>45919</v>
      </c>
      <c r="C348" s="3">
        <v>45926</v>
      </c>
      <c r="D348" t="s">
        <v>38</v>
      </c>
      <c r="E348" t="s">
        <v>39</v>
      </c>
      <c r="F348" t="s">
        <v>40</v>
      </c>
      <c r="G348" t="s">
        <v>85</v>
      </c>
      <c r="H348" t="s">
        <v>86</v>
      </c>
      <c r="I348" t="s">
        <v>87</v>
      </c>
      <c r="J348" t="s">
        <v>60</v>
      </c>
      <c r="K348" t="s">
        <v>61</v>
      </c>
      <c r="L348" t="s">
        <v>62</v>
      </c>
      <c r="M348" s="4">
        <v>67.14</v>
      </c>
      <c r="N348">
        <v>5</v>
      </c>
      <c r="O348" s="5">
        <v>0.15</v>
      </c>
      <c r="P348" s="4">
        <v>285.33999999999997</v>
      </c>
      <c r="Q348" s="4">
        <v>80.36</v>
      </c>
    </row>
    <row r="349" spans="1:17">
      <c r="A349" t="s">
        <v>478</v>
      </c>
      <c r="B349" s="3">
        <v>45975</v>
      </c>
      <c r="C349" s="3">
        <v>45982</v>
      </c>
      <c r="D349" t="s">
        <v>163</v>
      </c>
      <c r="E349" t="s">
        <v>164</v>
      </c>
      <c r="F349" t="s">
        <v>50</v>
      </c>
      <c r="G349" t="s">
        <v>57</v>
      </c>
      <c r="H349" t="s">
        <v>58</v>
      </c>
      <c r="I349" t="s">
        <v>67</v>
      </c>
      <c r="J349" t="s">
        <v>51</v>
      </c>
      <c r="K349" t="s">
        <v>52</v>
      </c>
      <c r="L349" t="s">
        <v>81</v>
      </c>
      <c r="M349" s="4">
        <v>66.16</v>
      </c>
      <c r="N349">
        <v>8</v>
      </c>
      <c r="O349" s="5">
        <v>0.2</v>
      </c>
      <c r="P349" s="4">
        <v>423.41</v>
      </c>
      <c r="Q349" s="4">
        <v>88.26</v>
      </c>
    </row>
    <row r="350" spans="1:17">
      <c r="A350" t="s">
        <v>479</v>
      </c>
      <c r="B350" s="3">
        <v>45757</v>
      </c>
      <c r="C350" s="3">
        <v>45760</v>
      </c>
      <c r="D350" t="s">
        <v>163</v>
      </c>
      <c r="E350" t="s">
        <v>164</v>
      </c>
      <c r="F350" t="s">
        <v>40</v>
      </c>
      <c r="G350" t="s">
        <v>57</v>
      </c>
      <c r="H350" t="s">
        <v>58</v>
      </c>
      <c r="I350" t="s">
        <v>67</v>
      </c>
      <c r="J350" t="s">
        <v>60</v>
      </c>
      <c r="K350" t="s">
        <v>61</v>
      </c>
      <c r="L350" t="s">
        <v>96</v>
      </c>
      <c r="M350" s="4">
        <v>98.7</v>
      </c>
      <c r="N350">
        <v>8</v>
      </c>
      <c r="O350" s="5">
        <v>0</v>
      </c>
      <c r="P350" s="4">
        <v>789.62</v>
      </c>
      <c r="Q350" s="4">
        <v>54.18</v>
      </c>
    </row>
    <row r="351" spans="1:17">
      <c r="A351" t="s">
        <v>480</v>
      </c>
      <c r="B351" s="3">
        <v>45793</v>
      </c>
      <c r="C351" s="3">
        <v>45795</v>
      </c>
      <c r="D351" t="s">
        <v>64</v>
      </c>
      <c r="E351" t="s">
        <v>65</v>
      </c>
      <c r="F351" t="s">
        <v>50</v>
      </c>
      <c r="G351" t="s">
        <v>41</v>
      </c>
      <c r="H351" t="s">
        <v>42</v>
      </c>
      <c r="I351" t="s">
        <v>119</v>
      </c>
      <c r="J351" t="s">
        <v>44</v>
      </c>
      <c r="K351" t="s">
        <v>165</v>
      </c>
      <c r="L351" t="s">
        <v>166</v>
      </c>
      <c r="M351" s="4">
        <v>16.04</v>
      </c>
      <c r="N351">
        <v>3</v>
      </c>
      <c r="O351" s="5">
        <v>0.1</v>
      </c>
      <c r="P351" s="4">
        <v>43.3</v>
      </c>
      <c r="Q351" s="4">
        <v>2.23</v>
      </c>
    </row>
    <row r="352" spans="1:17">
      <c r="A352" t="s">
        <v>481</v>
      </c>
      <c r="B352" s="3">
        <v>45978</v>
      </c>
      <c r="C352" s="3">
        <v>45983</v>
      </c>
      <c r="D352" t="s">
        <v>71</v>
      </c>
      <c r="E352" t="s">
        <v>72</v>
      </c>
      <c r="F352" t="s">
        <v>50</v>
      </c>
      <c r="G352" t="s">
        <v>85</v>
      </c>
      <c r="H352" t="s">
        <v>86</v>
      </c>
      <c r="I352" t="s">
        <v>95</v>
      </c>
      <c r="J352" t="s">
        <v>44</v>
      </c>
      <c r="K352" t="s">
        <v>140</v>
      </c>
      <c r="L352" t="s">
        <v>141</v>
      </c>
      <c r="M352" s="4">
        <v>26.45</v>
      </c>
      <c r="N352">
        <v>5</v>
      </c>
      <c r="O352" s="5">
        <v>0.05</v>
      </c>
      <c r="P352" s="4">
        <v>125.64</v>
      </c>
      <c r="Q352" s="4">
        <v>-11.4</v>
      </c>
    </row>
    <row r="353" spans="1:17">
      <c r="A353" t="s">
        <v>482</v>
      </c>
      <c r="B353" s="3">
        <v>45870</v>
      </c>
      <c r="C353" s="3">
        <v>45875</v>
      </c>
      <c r="D353" t="s">
        <v>132</v>
      </c>
      <c r="E353" t="s">
        <v>133</v>
      </c>
      <c r="F353" t="s">
        <v>40</v>
      </c>
      <c r="G353" t="s">
        <v>85</v>
      </c>
      <c r="H353" t="s">
        <v>86</v>
      </c>
      <c r="I353" t="s">
        <v>95</v>
      </c>
      <c r="J353" t="s">
        <v>51</v>
      </c>
      <c r="K353" t="s">
        <v>102</v>
      </c>
      <c r="L353" t="s">
        <v>103</v>
      </c>
      <c r="M353" s="4">
        <v>310.36</v>
      </c>
      <c r="N353">
        <v>7</v>
      </c>
      <c r="O353" s="5">
        <v>0</v>
      </c>
      <c r="P353" s="4">
        <v>2172.5300000000002</v>
      </c>
      <c r="Q353" s="4">
        <v>588.42999999999995</v>
      </c>
    </row>
    <row r="354" spans="1:17">
      <c r="A354" t="s">
        <v>483</v>
      </c>
      <c r="B354" s="3">
        <v>45901</v>
      </c>
      <c r="C354" s="3">
        <v>45906</v>
      </c>
      <c r="D354" t="s">
        <v>48</v>
      </c>
      <c r="E354" t="s">
        <v>49</v>
      </c>
      <c r="F354" t="s">
        <v>66</v>
      </c>
      <c r="G354" t="s">
        <v>57</v>
      </c>
      <c r="H354" t="s">
        <v>58</v>
      </c>
      <c r="I354" t="s">
        <v>91</v>
      </c>
      <c r="J354" t="s">
        <v>51</v>
      </c>
      <c r="K354" t="s">
        <v>102</v>
      </c>
      <c r="L354" t="s">
        <v>103</v>
      </c>
      <c r="M354" s="4">
        <v>330.81</v>
      </c>
      <c r="N354">
        <v>1</v>
      </c>
      <c r="O354" s="5">
        <v>0</v>
      </c>
      <c r="P354" s="4">
        <v>330.81</v>
      </c>
      <c r="Q354" s="4">
        <v>53.4</v>
      </c>
    </row>
    <row r="355" spans="1:17">
      <c r="A355" t="s">
        <v>484</v>
      </c>
      <c r="B355" s="3">
        <v>45855</v>
      </c>
      <c r="C355" s="3">
        <v>45858</v>
      </c>
      <c r="D355" t="s">
        <v>108</v>
      </c>
      <c r="E355" t="s">
        <v>109</v>
      </c>
      <c r="F355" t="s">
        <v>40</v>
      </c>
      <c r="G355" t="s">
        <v>85</v>
      </c>
      <c r="H355" t="s">
        <v>86</v>
      </c>
      <c r="I355" t="s">
        <v>95</v>
      </c>
      <c r="J355" t="s">
        <v>44</v>
      </c>
      <c r="K355" t="s">
        <v>143</v>
      </c>
      <c r="L355" t="s">
        <v>144</v>
      </c>
      <c r="M355" s="4">
        <v>19.48</v>
      </c>
      <c r="N355">
        <v>5</v>
      </c>
      <c r="O355" s="5">
        <v>0</v>
      </c>
      <c r="P355" s="4">
        <v>97.4</v>
      </c>
      <c r="Q355" s="4">
        <v>24.89</v>
      </c>
    </row>
    <row r="356" spans="1:17">
      <c r="A356" t="s">
        <v>485</v>
      </c>
      <c r="B356" s="3">
        <v>45921</v>
      </c>
      <c r="C356" s="3">
        <v>45922</v>
      </c>
      <c r="D356" t="s">
        <v>55</v>
      </c>
      <c r="E356" t="s">
        <v>56</v>
      </c>
      <c r="F356" t="s">
        <v>50</v>
      </c>
      <c r="G356" t="s">
        <v>78</v>
      </c>
      <c r="H356" t="s">
        <v>79</v>
      </c>
      <c r="I356" t="s">
        <v>124</v>
      </c>
      <c r="J356" t="s">
        <v>44</v>
      </c>
      <c r="K356" t="s">
        <v>45</v>
      </c>
      <c r="L356" t="s">
        <v>46</v>
      </c>
      <c r="M356" s="4">
        <v>8.75</v>
      </c>
      <c r="N356">
        <v>2</v>
      </c>
      <c r="O356" s="5">
        <v>0</v>
      </c>
      <c r="P356" s="4">
        <v>17.510000000000002</v>
      </c>
      <c r="Q356" s="4">
        <v>4.26</v>
      </c>
    </row>
    <row r="357" spans="1:17">
      <c r="A357" t="s">
        <v>486</v>
      </c>
      <c r="B357" s="3">
        <v>45711</v>
      </c>
      <c r="C357" s="3">
        <v>45713</v>
      </c>
      <c r="D357" t="s">
        <v>98</v>
      </c>
      <c r="E357" t="s">
        <v>99</v>
      </c>
      <c r="F357" t="s">
        <v>40</v>
      </c>
      <c r="G357" t="s">
        <v>41</v>
      </c>
      <c r="H357" t="s">
        <v>42</v>
      </c>
      <c r="I357" t="s">
        <v>43</v>
      </c>
      <c r="J357" t="s">
        <v>60</v>
      </c>
      <c r="K357" t="s">
        <v>116</v>
      </c>
      <c r="L357" t="s">
        <v>117</v>
      </c>
      <c r="M357" s="4">
        <v>552.94000000000005</v>
      </c>
      <c r="N357">
        <v>7</v>
      </c>
      <c r="O357" s="5">
        <v>0.15</v>
      </c>
      <c r="P357" s="4">
        <v>3290.01</v>
      </c>
      <c r="Q357" s="4">
        <v>223.82</v>
      </c>
    </row>
    <row r="358" spans="1:17">
      <c r="A358" t="s">
        <v>487</v>
      </c>
      <c r="B358" s="3">
        <v>45695</v>
      </c>
      <c r="C358" s="3">
        <v>45696</v>
      </c>
      <c r="D358" t="s">
        <v>137</v>
      </c>
      <c r="E358" t="s">
        <v>138</v>
      </c>
      <c r="F358" t="s">
        <v>40</v>
      </c>
      <c r="G358" t="s">
        <v>41</v>
      </c>
      <c r="H358" t="s">
        <v>42</v>
      </c>
      <c r="I358" t="s">
        <v>119</v>
      </c>
      <c r="J358" t="s">
        <v>44</v>
      </c>
      <c r="K358" t="s">
        <v>110</v>
      </c>
      <c r="L358" t="s">
        <v>111</v>
      </c>
      <c r="M358" s="4">
        <v>11.4</v>
      </c>
      <c r="N358">
        <v>3</v>
      </c>
      <c r="O358" s="5">
        <v>0.2</v>
      </c>
      <c r="P358" s="4">
        <v>27.37</v>
      </c>
      <c r="Q358" s="4">
        <v>1.85</v>
      </c>
    </row>
    <row r="359" spans="1:17">
      <c r="A359" t="s">
        <v>488</v>
      </c>
      <c r="B359" s="3">
        <v>45819</v>
      </c>
      <c r="C359" s="3">
        <v>45820</v>
      </c>
      <c r="D359" t="s">
        <v>98</v>
      </c>
      <c r="E359" t="s">
        <v>99</v>
      </c>
      <c r="F359" t="s">
        <v>66</v>
      </c>
      <c r="G359" t="s">
        <v>57</v>
      </c>
      <c r="H359" t="s">
        <v>58</v>
      </c>
      <c r="I359" t="s">
        <v>91</v>
      </c>
      <c r="J359" t="s">
        <v>44</v>
      </c>
      <c r="K359" t="s">
        <v>143</v>
      </c>
      <c r="L359" t="s">
        <v>144</v>
      </c>
      <c r="M359" s="4">
        <v>16.63</v>
      </c>
      <c r="N359">
        <v>7</v>
      </c>
      <c r="O359" s="5">
        <v>0.15</v>
      </c>
      <c r="P359" s="4">
        <v>98.92</v>
      </c>
      <c r="Q359" s="4">
        <v>5.09</v>
      </c>
    </row>
    <row r="360" spans="1:17">
      <c r="A360" t="s">
        <v>489</v>
      </c>
      <c r="B360" s="3">
        <v>45915</v>
      </c>
      <c r="C360" s="3">
        <v>45916</v>
      </c>
      <c r="D360" t="s">
        <v>76</v>
      </c>
      <c r="E360" t="s">
        <v>77</v>
      </c>
      <c r="F360" t="s">
        <v>40</v>
      </c>
      <c r="G360" t="s">
        <v>41</v>
      </c>
      <c r="H360" t="s">
        <v>42</v>
      </c>
      <c r="I360" t="s">
        <v>101</v>
      </c>
      <c r="J360" t="s">
        <v>51</v>
      </c>
      <c r="K360" t="s">
        <v>125</v>
      </c>
      <c r="L360" t="s">
        <v>126</v>
      </c>
      <c r="M360" s="4">
        <v>881.6</v>
      </c>
      <c r="N360">
        <v>5</v>
      </c>
      <c r="O360" s="5">
        <v>0.2</v>
      </c>
      <c r="P360" s="4">
        <v>3526.4</v>
      </c>
      <c r="Q360" s="4">
        <v>711.07</v>
      </c>
    </row>
    <row r="361" spans="1:17">
      <c r="A361" t="s">
        <v>490</v>
      </c>
      <c r="B361" s="3">
        <v>45738</v>
      </c>
      <c r="C361" s="3">
        <v>45743</v>
      </c>
      <c r="D361" t="s">
        <v>121</v>
      </c>
      <c r="E361" t="s">
        <v>122</v>
      </c>
      <c r="F361" t="s">
        <v>66</v>
      </c>
      <c r="G361" t="s">
        <v>78</v>
      </c>
      <c r="H361" t="s">
        <v>79</v>
      </c>
      <c r="I361" t="s">
        <v>124</v>
      </c>
      <c r="J361" t="s">
        <v>60</v>
      </c>
      <c r="K361" t="s">
        <v>73</v>
      </c>
      <c r="L361" t="s">
        <v>74</v>
      </c>
      <c r="M361" s="4">
        <v>409.25</v>
      </c>
      <c r="N361">
        <v>4</v>
      </c>
      <c r="O361" s="5">
        <v>0</v>
      </c>
      <c r="P361" s="4">
        <v>1636.99</v>
      </c>
      <c r="Q361" s="4">
        <v>407.93</v>
      </c>
    </row>
    <row r="362" spans="1:17">
      <c r="A362" t="s">
        <v>491</v>
      </c>
      <c r="B362" s="3">
        <v>45941</v>
      </c>
      <c r="C362" s="3">
        <v>45948</v>
      </c>
      <c r="D362" t="s">
        <v>221</v>
      </c>
      <c r="E362" t="s">
        <v>222</v>
      </c>
      <c r="F362" t="s">
        <v>50</v>
      </c>
      <c r="G362" t="s">
        <v>57</v>
      </c>
      <c r="H362" t="s">
        <v>58</v>
      </c>
      <c r="I362" t="s">
        <v>67</v>
      </c>
      <c r="J362" t="s">
        <v>44</v>
      </c>
      <c r="K362" t="s">
        <v>165</v>
      </c>
      <c r="L362" t="s">
        <v>166</v>
      </c>
      <c r="M362" s="4">
        <v>13.63</v>
      </c>
      <c r="N362">
        <v>3</v>
      </c>
      <c r="O362" s="5">
        <v>0</v>
      </c>
      <c r="P362" s="4">
        <v>40.880000000000003</v>
      </c>
      <c r="Q362" s="4">
        <v>7.9</v>
      </c>
    </row>
    <row r="363" spans="1:17">
      <c r="A363" t="s">
        <v>492</v>
      </c>
      <c r="B363" s="3">
        <v>45869</v>
      </c>
      <c r="C363" s="3">
        <v>45875</v>
      </c>
      <c r="D363" t="s">
        <v>163</v>
      </c>
      <c r="E363" t="s">
        <v>164</v>
      </c>
      <c r="F363" t="s">
        <v>50</v>
      </c>
      <c r="G363" t="s">
        <v>41</v>
      </c>
      <c r="H363" t="s">
        <v>42</v>
      </c>
      <c r="I363" t="s">
        <v>119</v>
      </c>
      <c r="J363" t="s">
        <v>60</v>
      </c>
      <c r="K363" t="s">
        <v>128</v>
      </c>
      <c r="L363" t="s">
        <v>129</v>
      </c>
      <c r="M363" s="4">
        <v>262.3</v>
      </c>
      <c r="N363">
        <v>3</v>
      </c>
      <c r="O363" s="5">
        <v>0</v>
      </c>
      <c r="P363" s="4">
        <v>786.91</v>
      </c>
      <c r="Q363" s="4">
        <v>160.69999999999999</v>
      </c>
    </row>
    <row r="364" spans="1:17">
      <c r="A364" t="s">
        <v>493</v>
      </c>
      <c r="B364" s="3">
        <v>45894</v>
      </c>
      <c r="C364" s="3">
        <v>45900</v>
      </c>
      <c r="D364" t="s">
        <v>64</v>
      </c>
      <c r="E364" t="s">
        <v>65</v>
      </c>
      <c r="F364" t="s">
        <v>40</v>
      </c>
      <c r="G364" t="s">
        <v>41</v>
      </c>
      <c r="H364" t="s">
        <v>42</v>
      </c>
      <c r="I364" t="s">
        <v>43</v>
      </c>
      <c r="J364" t="s">
        <v>60</v>
      </c>
      <c r="K364" t="s">
        <v>73</v>
      </c>
      <c r="L364" t="s">
        <v>74</v>
      </c>
      <c r="M364" s="4">
        <v>403.39</v>
      </c>
      <c r="N364">
        <v>2</v>
      </c>
      <c r="O364" s="5">
        <v>0</v>
      </c>
      <c r="P364" s="4">
        <v>806.78</v>
      </c>
      <c r="Q364" s="4">
        <v>90.9</v>
      </c>
    </row>
    <row r="365" spans="1:17">
      <c r="A365" t="s">
        <v>494</v>
      </c>
      <c r="B365" s="3">
        <v>45803</v>
      </c>
      <c r="C365" s="3">
        <v>45808</v>
      </c>
      <c r="D365" t="s">
        <v>108</v>
      </c>
      <c r="E365" t="s">
        <v>109</v>
      </c>
      <c r="F365" t="s">
        <v>66</v>
      </c>
      <c r="G365" t="s">
        <v>78</v>
      </c>
      <c r="H365" t="s">
        <v>79</v>
      </c>
      <c r="I365" t="s">
        <v>124</v>
      </c>
      <c r="J365" t="s">
        <v>51</v>
      </c>
      <c r="K365" t="s">
        <v>52</v>
      </c>
      <c r="L365" t="s">
        <v>53</v>
      </c>
      <c r="M365" s="4">
        <v>43.36</v>
      </c>
      <c r="N365">
        <v>2</v>
      </c>
      <c r="O365" s="5">
        <v>0</v>
      </c>
      <c r="P365" s="4">
        <v>86.72</v>
      </c>
      <c r="Q365" s="4">
        <v>14.11</v>
      </c>
    </row>
    <row r="366" spans="1:17">
      <c r="A366" t="s">
        <v>495</v>
      </c>
      <c r="B366" s="3">
        <v>45844</v>
      </c>
      <c r="C366" s="3">
        <v>45851</v>
      </c>
      <c r="D366" t="s">
        <v>89</v>
      </c>
      <c r="E366" t="s">
        <v>90</v>
      </c>
      <c r="F366" t="s">
        <v>40</v>
      </c>
      <c r="G366" t="s">
        <v>57</v>
      </c>
      <c r="H366" t="s">
        <v>58</v>
      </c>
      <c r="I366" t="s">
        <v>67</v>
      </c>
      <c r="J366" t="s">
        <v>51</v>
      </c>
      <c r="K366" t="s">
        <v>102</v>
      </c>
      <c r="L366" t="s">
        <v>103</v>
      </c>
      <c r="M366" s="4">
        <v>298.79000000000002</v>
      </c>
      <c r="N366">
        <v>6</v>
      </c>
      <c r="O366" s="5">
        <v>0.05</v>
      </c>
      <c r="P366" s="4">
        <v>1703.12</v>
      </c>
      <c r="Q366" s="4">
        <v>218.52</v>
      </c>
    </row>
    <row r="367" spans="1:17">
      <c r="A367" t="s">
        <v>496</v>
      </c>
      <c r="B367" s="3">
        <v>45894</v>
      </c>
      <c r="C367" s="3">
        <v>45898</v>
      </c>
      <c r="D367" t="s">
        <v>121</v>
      </c>
      <c r="E367" t="s">
        <v>122</v>
      </c>
      <c r="F367" t="s">
        <v>66</v>
      </c>
      <c r="G367" t="s">
        <v>78</v>
      </c>
      <c r="H367" t="s">
        <v>79</v>
      </c>
      <c r="I367" t="s">
        <v>124</v>
      </c>
      <c r="J367" t="s">
        <v>51</v>
      </c>
      <c r="K367" t="s">
        <v>52</v>
      </c>
      <c r="L367" t="s">
        <v>81</v>
      </c>
      <c r="M367" s="4">
        <v>67.28</v>
      </c>
      <c r="N367">
        <v>6</v>
      </c>
      <c r="O367" s="5">
        <v>0.2</v>
      </c>
      <c r="P367" s="4">
        <v>322.93</v>
      </c>
      <c r="Q367" s="4">
        <v>60.68</v>
      </c>
    </row>
    <row r="368" spans="1:17">
      <c r="A368" t="s">
        <v>497</v>
      </c>
      <c r="B368" s="3">
        <v>45978</v>
      </c>
      <c r="C368" s="3">
        <v>45979</v>
      </c>
      <c r="D368" t="s">
        <v>93</v>
      </c>
      <c r="E368" t="s">
        <v>94</v>
      </c>
      <c r="F368" t="s">
        <v>50</v>
      </c>
      <c r="G368" t="s">
        <v>41</v>
      </c>
      <c r="H368" t="s">
        <v>42</v>
      </c>
      <c r="I368" t="s">
        <v>119</v>
      </c>
      <c r="J368" t="s">
        <v>60</v>
      </c>
      <c r="K368" t="s">
        <v>116</v>
      </c>
      <c r="L368" t="s">
        <v>117</v>
      </c>
      <c r="M368" s="4">
        <v>556.36</v>
      </c>
      <c r="N368">
        <v>2</v>
      </c>
      <c r="O368" s="5">
        <v>0</v>
      </c>
      <c r="P368" s="4">
        <v>1112.71</v>
      </c>
      <c r="Q368" s="4">
        <v>231.34</v>
      </c>
    </row>
    <row r="369" spans="1:17">
      <c r="A369" t="s">
        <v>498</v>
      </c>
      <c r="B369" s="3">
        <v>45936</v>
      </c>
      <c r="C369" s="3">
        <v>45941</v>
      </c>
      <c r="D369" t="s">
        <v>93</v>
      </c>
      <c r="E369" t="s">
        <v>94</v>
      </c>
      <c r="F369" t="s">
        <v>50</v>
      </c>
      <c r="G369" t="s">
        <v>78</v>
      </c>
      <c r="H369" t="s">
        <v>79</v>
      </c>
      <c r="I369" t="s">
        <v>80</v>
      </c>
      <c r="J369" t="s">
        <v>51</v>
      </c>
      <c r="K369" t="s">
        <v>102</v>
      </c>
      <c r="L369" t="s">
        <v>103</v>
      </c>
      <c r="M369" s="4">
        <v>337.61</v>
      </c>
      <c r="N369">
        <v>8</v>
      </c>
      <c r="O369" s="5">
        <v>0.15</v>
      </c>
      <c r="P369" s="4">
        <v>2295.77</v>
      </c>
      <c r="Q369" s="4">
        <v>324.75</v>
      </c>
    </row>
    <row r="370" spans="1:17">
      <c r="A370" t="s">
        <v>499</v>
      </c>
      <c r="B370" s="3">
        <v>45861</v>
      </c>
      <c r="C370" s="3">
        <v>45864</v>
      </c>
      <c r="D370" t="s">
        <v>137</v>
      </c>
      <c r="E370" t="s">
        <v>138</v>
      </c>
      <c r="F370" t="s">
        <v>66</v>
      </c>
      <c r="G370" t="s">
        <v>57</v>
      </c>
      <c r="H370" t="s">
        <v>58</v>
      </c>
      <c r="I370" t="s">
        <v>59</v>
      </c>
      <c r="J370" t="s">
        <v>60</v>
      </c>
      <c r="K370" t="s">
        <v>61</v>
      </c>
      <c r="L370" t="s">
        <v>96</v>
      </c>
      <c r="M370" s="4">
        <v>85.3</v>
      </c>
      <c r="N370">
        <v>1</v>
      </c>
      <c r="O370" s="5">
        <v>0.15</v>
      </c>
      <c r="P370" s="4">
        <v>72.5</v>
      </c>
      <c r="Q370" s="4">
        <v>21.1</v>
      </c>
    </row>
    <row r="371" spans="1:17">
      <c r="A371" t="s">
        <v>500</v>
      </c>
      <c r="B371" s="3">
        <v>45947</v>
      </c>
      <c r="C371" s="3">
        <v>45952</v>
      </c>
      <c r="D371" t="s">
        <v>132</v>
      </c>
      <c r="E371" t="s">
        <v>133</v>
      </c>
      <c r="F371" t="s">
        <v>50</v>
      </c>
      <c r="G371" t="s">
        <v>85</v>
      </c>
      <c r="H371" t="s">
        <v>86</v>
      </c>
      <c r="I371" t="s">
        <v>87</v>
      </c>
      <c r="J371" t="s">
        <v>44</v>
      </c>
      <c r="K371" t="s">
        <v>45</v>
      </c>
      <c r="L371" t="s">
        <v>46</v>
      </c>
      <c r="M371" s="4">
        <v>8.3699999999999992</v>
      </c>
      <c r="N371">
        <v>3</v>
      </c>
      <c r="O371" s="5">
        <v>0.15</v>
      </c>
      <c r="P371" s="4">
        <v>21.35</v>
      </c>
      <c r="Q371" s="4">
        <v>-2.0499999999999998</v>
      </c>
    </row>
    <row r="372" spans="1:17">
      <c r="A372" t="s">
        <v>501</v>
      </c>
      <c r="B372" s="3">
        <v>46000</v>
      </c>
      <c r="C372" s="3">
        <v>46002</v>
      </c>
      <c r="D372" t="s">
        <v>71</v>
      </c>
      <c r="E372" t="s">
        <v>72</v>
      </c>
      <c r="F372" t="s">
        <v>66</v>
      </c>
      <c r="G372" t="s">
        <v>85</v>
      </c>
      <c r="H372" t="s">
        <v>86</v>
      </c>
      <c r="I372" t="s">
        <v>95</v>
      </c>
      <c r="J372" t="s">
        <v>44</v>
      </c>
      <c r="K372" t="s">
        <v>45</v>
      </c>
      <c r="L372" t="s">
        <v>46</v>
      </c>
      <c r="M372" s="4">
        <v>7.95</v>
      </c>
      <c r="N372">
        <v>6</v>
      </c>
      <c r="O372" s="5">
        <v>0.05</v>
      </c>
      <c r="P372" s="4">
        <v>45.32</v>
      </c>
      <c r="Q372" s="4">
        <v>-5.35</v>
      </c>
    </row>
    <row r="373" spans="1:17">
      <c r="A373" t="s">
        <v>502</v>
      </c>
      <c r="B373" s="3">
        <v>45954</v>
      </c>
      <c r="C373" s="3">
        <v>45959</v>
      </c>
      <c r="D373" t="s">
        <v>93</v>
      </c>
      <c r="E373" t="s">
        <v>94</v>
      </c>
      <c r="F373" t="s">
        <v>40</v>
      </c>
      <c r="G373" t="s">
        <v>57</v>
      </c>
      <c r="H373" t="s">
        <v>58</v>
      </c>
      <c r="I373" t="s">
        <v>59</v>
      </c>
      <c r="J373" t="s">
        <v>60</v>
      </c>
      <c r="K373" t="s">
        <v>128</v>
      </c>
      <c r="L373" t="s">
        <v>129</v>
      </c>
      <c r="M373" s="4">
        <v>288.61</v>
      </c>
      <c r="N373">
        <v>3</v>
      </c>
      <c r="O373" s="5">
        <v>0.05</v>
      </c>
      <c r="P373" s="4">
        <v>822.53</v>
      </c>
      <c r="Q373" s="4">
        <v>116.24</v>
      </c>
    </row>
    <row r="374" spans="1:17">
      <c r="A374" t="s">
        <v>503</v>
      </c>
      <c r="B374" s="3">
        <v>45865</v>
      </c>
      <c r="C374" s="3">
        <v>45868</v>
      </c>
      <c r="D374" t="s">
        <v>48</v>
      </c>
      <c r="E374" t="s">
        <v>49</v>
      </c>
      <c r="F374" t="s">
        <v>66</v>
      </c>
      <c r="G374" t="s">
        <v>41</v>
      </c>
      <c r="H374" t="s">
        <v>42</v>
      </c>
      <c r="I374" t="s">
        <v>101</v>
      </c>
      <c r="J374" t="s">
        <v>44</v>
      </c>
      <c r="K374" t="s">
        <v>45</v>
      </c>
      <c r="L374" t="s">
        <v>46</v>
      </c>
      <c r="M374" s="4">
        <v>8.4700000000000006</v>
      </c>
      <c r="N374">
        <v>6</v>
      </c>
      <c r="O374" s="5">
        <v>0.05</v>
      </c>
      <c r="P374" s="4">
        <v>48.27</v>
      </c>
      <c r="Q374" s="4">
        <v>-5.22</v>
      </c>
    </row>
    <row r="375" spans="1:17">
      <c r="A375" t="s">
        <v>504</v>
      </c>
      <c r="B375" s="3">
        <v>45766</v>
      </c>
      <c r="C375" s="3">
        <v>45768</v>
      </c>
      <c r="D375" t="s">
        <v>93</v>
      </c>
      <c r="E375" t="s">
        <v>94</v>
      </c>
      <c r="F375" t="s">
        <v>50</v>
      </c>
      <c r="G375" t="s">
        <v>78</v>
      </c>
      <c r="H375" t="s">
        <v>79</v>
      </c>
      <c r="I375" t="s">
        <v>135</v>
      </c>
      <c r="J375" t="s">
        <v>51</v>
      </c>
      <c r="K375" t="s">
        <v>102</v>
      </c>
      <c r="L375" t="s">
        <v>103</v>
      </c>
      <c r="M375" s="4">
        <v>311.18</v>
      </c>
      <c r="N375">
        <v>3</v>
      </c>
      <c r="O375" s="5">
        <v>0</v>
      </c>
      <c r="P375" s="4">
        <v>933.55</v>
      </c>
      <c r="Q375" s="4">
        <v>214.09</v>
      </c>
    </row>
    <row r="376" spans="1:17">
      <c r="A376" t="s">
        <v>505</v>
      </c>
      <c r="B376" s="3">
        <v>46003</v>
      </c>
      <c r="C376" s="3">
        <v>46007</v>
      </c>
      <c r="D376" t="s">
        <v>121</v>
      </c>
      <c r="E376" t="s">
        <v>122</v>
      </c>
      <c r="F376" t="s">
        <v>66</v>
      </c>
      <c r="G376" t="s">
        <v>85</v>
      </c>
      <c r="H376" t="s">
        <v>86</v>
      </c>
      <c r="I376" t="s">
        <v>160</v>
      </c>
      <c r="J376" t="s">
        <v>60</v>
      </c>
      <c r="K376" t="s">
        <v>73</v>
      </c>
      <c r="L376" t="s">
        <v>74</v>
      </c>
      <c r="M376" s="4">
        <v>397.08</v>
      </c>
      <c r="N376">
        <v>8</v>
      </c>
      <c r="O376" s="5">
        <v>0</v>
      </c>
      <c r="P376" s="4">
        <v>3176.65</v>
      </c>
      <c r="Q376" s="4">
        <v>672.86</v>
      </c>
    </row>
    <row r="377" spans="1:17">
      <c r="A377" t="s">
        <v>506</v>
      </c>
      <c r="B377" s="3">
        <v>45726</v>
      </c>
      <c r="C377" s="3">
        <v>45732</v>
      </c>
      <c r="D377" t="s">
        <v>132</v>
      </c>
      <c r="E377" t="s">
        <v>133</v>
      </c>
      <c r="F377" t="s">
        <v>50</v>
      </c>
      <c r="G377" t="s">
        <v>85</v>
      </c>
      <c r="H377" t="s">
        <v>86</v>
      </c>
      <c r="I377" t="s">
        <v>95</v>
      </c>
      <c r="J377" t="s">
        <v>60</v>
      </c>
      <c r="K377" t="s">
        <v>61</v>
      </c>
      <c r="L377" t="s">
        <v>96</v>
      </c>
      <c r="M377" s="4">
        <v>83.64</v>
      </c>
      <c r="N377">
        <v>1</v>
      </c>
      <c r="O377" s="5">
        <v>0.1</v>
      </c>
      <c r="P377" s="4">
        <v>75.28</v>
      </c>
      <c r="Q377" s="4">
        <v>6.89</v>
      </c>
    </row>
    <row r="378" spans="1:17">
      <c r="A378" t="s">
        <v>507</v>
      </c>
      <c r="B378" s="3">
        <v>45701</v>
      </c>
      <c r="C378" s="3">
        <v>45703</v>
      </c>
      <c r="D378" t="s">
        <v>105</v>
      </c>
      <c r="E378" t="s">
        <v>106</v>
      </c>
      <c r="F378" t="s">
        <v>40</v>
      </c>
      <c r="G378" t="s">
        <v>78</v>
      </c>
      <c r="H378" t="s">
        <v>79</v>
      </c>
      <c r="I378" t="s">
        <v>80</v>
      </c>
      <c r="J378" t="s">
        <v>60</v>
      </c>
      <c r="K378" t="s">
        <v>73</v>
      </c>
      <c r="L378" t="s">
        <v>74</v>
      </c>
      <c r="M378" s="4">
        <v>428.44</v>
      </c>
      <c r="N378">
        <v>8</v>
      </c>
      <c r="O378" s="5">
        <v>0.1</v>
      </c>
      <c r="P378" s="4">
        <v>3084.74</v>
      </c>
      <c r="Q378" s="4">
        <v>823.09</v>
      </c>
    </row>
    <row r="379" spans="1:17">
      <c r="A379" t="s">
        <v>508</v>
      </c>
      <c r="B379" s="3">
        <v>45995</v>
      </c>
      <c r="C379" s="3">
        <v>46000</v>
      </c>
      <c r="D379" t="s">
        <v>158</v>
      </c>
      <c r="E379" t="s">
        <v>159</v>
      </c>
      <c r="F379" t="s">
        <v>50</v>
      </c>
      <c r="G379" t="s">
        <v>78</v>
      </c>
      <c r="H379" t="s">
        <v>79</v>
      </c>
      <c r="I379" t="s">
        <v>80</v>
      </c>
      <c r="J379" t="s">
        <v>60</v>
      </c>
      <c r="K379" t="s">
        <v>116</v>
      </c>
      <c r="L379" t="s">
        <v>117</v>
      </c>
      <c r="M379" s="4">
        <v>543.32000000000005</v>
      </c>
      <c r="N379">
        <v>5</v>
      </c>
      <c r="O379" s="5">
        <v>0</v>
      </c>
      <c r="P379" s="4">
        <v>2716.58</v>
      </c>
      <c r="Q379" s="4">
        <v>368.55</v>
      </c>
    </row>
    <row r="380" spans="1:17">
      <c r="A380" t="s">
        <v>509</v>
      </c>
      <c r="B380" s="3">
        <v>45666</v>
      </c>
      <c r="C380" s="3">
        <v>45668</v>
      </c>
      <c r="D380" t="s">
        <v>108</v>
      </c>
      <c r="E380" t="s">
        <v>109</v>
      </c>
      <c r="F380" t="s">
        <v>66</v>
      </c>
      <c r="G380" t="s">
        <v>41</v>
      </c>
      <c r="H380" t="s">
        <v>42</v>
      </c>
      <c r="I380" t="s">
        <v>43</v>
      </c>
      <c r="J380" t="s">
        <v>44</v>
      </c>
      <c r="K380" t="s">
        <v>45</v>
      </c>
      <c r="L380" t="s">
        <v>46</v>
      </c>
      <c r="M380" s="4">
        <v>7.44</v>
      </c>
      <c r="N380">
        <v>7</v>
      </c>
      <c r="O380" s="5">
        <v>0.2</v>
      </c>
      <c r="P380" s="4">
        <v>41.66</v>
      </c>
      <c r="Q380" s="4">
        <v>3.09</v>
      </c>
    </row>
    <row r="381" spans="1:17">
      <c r="A381" t="s">
        <v>510</v>
      </c>
      <c r="B381" s="3">
        <v>45995</v>
      </c>
      <c r="C381" s="3">
        <v>45997</v>
      </c>
      <c r="D381" t="s">
        <v>121</v>
      </c>
      <c r="E381" t="s">
        <v>122</v>
      </c>
      <c r="F381" t="s">
        <v>40</v>
      </c>
      <c r="G381" t="s">
        <v>41</v>
      </c>
      <c r="H381" t="s">
        <v>42</v>
      </c>
      <c r="I381" t="s">
        <v>101</v>
      </c>
      <c r="J381" t="s">
        <v>51</v>
      </c>
      <c r="K381" t="s">
        <v>125</v>
      </c>
      <c r="L381" t="s">
        <v>126</v>
      </c>
      <c r="M381" s="4">
        <v>880.36</v>
      </c>
      <c r="N381">
        <v>1</v>
      </c>
      <c r="O381" s="5">
        <v>0.2</v>
      </c>
      <c r="P381" s="4">
        <v>704.28</v>
      </c>
      <c r="Q381" s="4">
        <v>111.19</v>
      </c>
    </row>
    <row r="382" spans="1:17">
      <c r="A382" t="s">
        <v>511</v>
      </c>
      <c r="B382" s="3">
        <v>45853</v>
      </c>
      <c r="C382" s="3">
        <v>45856</v>
      </c>
      <c r="D382" t="s">
        <v>121</v>
      </c>
      <c r="E382" t="s">
        <v>122</v>
      </c>
      <c r="F382" t="s">
        <v>40</v>
      </c>
      <c r="G382" t="s">
        <v>41</v>
      </c>
      <c r="H382" t="s">
        <v>42</v>
      </c>
      <c r="I382" t="s">
        <v>101</v>
      </c>
      <c r="J382" t="s">
        <v>44</v>
      </c>
      <c r="K382" t="s">
        <v>45</v>
      </c>
      <c r="L382" t="s">
        <v>46</v>
      </c>
      <c r="M382" s="4">
        <v>7.41</v>
      </c>
      <c r="N382">
        <v>2</v>
      </c>
      <c r="O382" s="5">
        <v>0.05</v>
      </c>
      <c r="P382" s="4">
        <v>14.09</v>
      </c>
      <c r="Q382" s="4">
        <v>2.39</v>
      </c>
    </row>
    <row r="383" spans="1:17">
      <c r="A383" t="s">
        <v>512</v>
      </c>
      <c r="B383" s="3">
        <v>45754</v>
      </c>
      <c r="C383" s="3">
        <v>45755</v>
      </c>
      <c r="D383" t="s">
        <v>93</v>
      </c>
      <c r="E383" t="s">
        <v>94</v>
      </c>
      <c r="F383" t="s">
        <v>40</v>
      </c>
      <c r="G383" t="s">
        <v>41</v>
      </c>
      <c r="H383" t="s">
        <v>42</v>
      </c>
      <c r="I383" t="s">
        <v>119</v>
      </c>
      <c r="J383" t="s">
        <v>60</v>
      </c>
      <c r="K383" t="s">
        <v>61</v>
      </c>
      <c r="L383" t="s">
        <v>62</v>
      </c>
      <c r="M383" s="4">
        <v>65.290000000000006</v>
      </c>
      <c r="N383">
        <v>1</v>
      </c>
      <c r="O383" s="5">
        <v>0.1</v>
      </c>
      <c r="P383" s="4">
        <v>58.76</v>
      </c>
      <c r="Q383" s="4">
        <v>10.57</v>
      </c>
    </row>
    <row r="384" spans="1:17">
      <c r="A384" t="s">
        <v>513</v>
      </c>
      <c r="B384" s="3">
        <v>45737</v>
      </c>
      <c r="C384" s="3">
        <v>45741</v>
      </c>
      <c r="D384" t="s">
        <v>108</v>
      </c>
      <c r="E384" t="s">
        <v>109</v>
      </c>
      <c r="F384" t="s">
        <v>66</v>
      </c>
      <c r="G384" t="s">
        <v>85</v>
      </c>
      <c r="H384" t="s">
        <v>86</v>
      </c>
      <c r="I384" t="s">
        <v>87</v>
      </c>
      <c r="J384" t="s">
        <v>44</v>
      </c>
      <c r="K384" t="s">
        <v>165</v>
      </c>
      <c r="L384" t="s">
        <v>166</v>
      </c>
      <c r="M384" s="4">
        <v>16.059999999999999</v>
      </c>
      <c r="N384">
        <v>5</v>
      </c>
      <c r="O384" s="5">
        <v>0</v>
      </c>
      <c r="P384" s="4">
        <v>80.319999999999993</v>
      </c>
      <c r="Q384" s="4">
        <v>12.52</v>
      </c>
    </row>
    <row r="385" spans="1:17">
      <c r="A385" t="s">
        <v>514</v>
      </c>
      <c r="B385" s="3">
        <v>45943</v>
      </c>
      <c r="C385" s="3">
        <v>45947</v>
      </c>
      <c r="D385" t="s">
        <v>64</v>
      </c>
      <c r="E385" t="s">
        <v>65</v>
      </c>
      <c r="F385" t="s">
        <v>66</v>
      </c>
      <c r="G385" t="s">
        <v>57</v>
      </c>
      <c r="H385" t="s">
        <v>58</v>
      </c>
      <c r="I385" t="s">
        <v>67</v>
      </c>
      <c r="J385" t="s">
        <v>51</v>
      </c>
      <c r="K385" t="s">
        <v>68</v>
      </c>
      <c r="L385" t="s">
        <v>69</v>
      </c>
      <c r="M385" s="4">
        <v>1467.14</v>
      </c>
      <c r="N385">
        <v>3</v>
      </c>
      <c r="O385" s="5">
        <v>0</v>
      </c>
      <c r="P385" s="4">
        <v>4401.41</v>
      </c>
      <c r="Q385" s="4">
        <v>752.38</v>
      </c>
    </row>
    <row r="386" spans="1:17">
      <c r="A386" t="s">
        <v>515</v>
      </c>
      <c r="B386" s="3">
        <v>45775</v>
      </c>
      <c r="C386" s="3">
        <v>45779</v>
      </c>
      <c r="D386" t="s">
        <v>108</v>
      </c>
      <c r="E386" t="s">
        <v>109</v>
      </c>
      <c r="F386" t="s">
        <v>66</v>
      </c>
      <c r="G386" t="s">
        <v>57</v>
      </c>
      <c r="H386" t="s">
        <v>58</v>
      </c>
      <c r="I386" t="s">
        <v>67</v>
      </c>
      <c r="J386" t="s">
        <v>60</v>
      </c>
      <c r="K386" t="s">
        <v>116</v>
      </c>
      <c r="L386" t="s">
        <v>117</v>
      </c>
      <c r="M386" s="4">
        <v>490.3</v>
      </c>
      <c r="N386">
        <v>3</v>
      </c>
      <c r="O386" s="5">
        <v>0</v>
      </c>
      <c r="P386" s="4">
        <v>1470.91</v>
      </c>
      <c r="Q386" s="4">
        <v>220.84</v>
      </c>
    </row>
    <row r="387" spans="1:17">
      <c r="A387" t="s">
        <v>516</v>
      </c>
      <c r="B387" s="3">
        <v>45732</v>
      </c>
      <c r="C387" s="3">
        <v>45736</v>
      </c>
      <c r="D387" t="s">
        <v>137</v>
      </c>
      <c r="E387" t="s">
        <v>138</v>
      </c>
      <c r="F387" t="s">
        <v>66</v>
      </c>
      <c r="G387" t="s">
        <v>41</v>
      </c>
      <c r="H387" t="s">
        <v>42</v>
      </c>
      <c r="I387" t="s">
        <v>43</v>
      </c>
      <c r="J387" t="s">
        <v>60</v>
      </c>
      <c r="K387" t="s">
        <v>73</v>
      </c>
      <c r="L387" t="s">
        <v>74</v>
      </c>
      <c r="M387" s="4">
        <v>356</v>
      </c>
      <c r="N387">
        <v>7</v>
      </c>
      <c r="O387" s="5">
        <v>0</v>
      </c>
      <c r="P387" s="4">
        <v>2491.9899999999998</v>
      </c>
      <c r="Q387" s="4">
        <v>-59.25</v>
      </c>
    </row>
    <row r="388" spans="1:17">
      <c r="A388" t="s">
        <v>517</v>
      </c>
      <c r="B388" s="3">
        <v>46022</v>
      </c>
      <c r="C388" s="3">
        <v>46027</v>
      </c>
      <c r="D388" t="s">
        <v>105</v>
      </c>
      <c r="E388" t="s">
        <v>106</v>
      </c>
      <c r="F388" t="s">
        <v>40</v>
      </c>
      <c r="G388" t="s">
        <v>78</v>
      </c>
      <c r="H388" t="s">
        <v>79</v>
      </c>
      <c r="I388" t="s">
        <v>124</v>
      </c>
      <c r="J388" t="s">
        <v>60</v>
      </c>
      <c r="K388" t="s">
        <v>61</v>
      </c>
      <c r="L388" t="s">
        <v>96</v>
      </c>
      <c r="M388" s="4">
        <v>95.76</v>
      </c>
      <c r="N388">
        <v>1</v>
      </c>
      <c r="O388" s="5">
        <v>0.2</v>
      </c>
      <c r="P388" s="4">
        <v>76.61</v>
      </c>
      <c r="Q388" s="4">
        <v>16.09</v>
      </c>
    </row>
    <row r="389" spans="1:17">
      <c r="A389" t="s">
        <v>518</v>
      </c>
      <c r="B389" s="3">
        <v>45964</v>
      </c>
      <c r="C389" s="3">
        <v>45969</v>
      </c>
      <c r="D389" t="s">
        <v>71</v>
      </c>
      <c r="E389" t="s">
        <v>72</v>
      </c>
      <c r="F389" t="s">
        <v>40</v>
      </c>
      <c r="G389" t="s">
        <v>85</v>
      </c>
      <c r="H389" t="s">
        <v>86</v>
      </c>
      <c r="I389" t="s">
        <v>87</v>
      </c>
      <c r="J389" t="s">
        <v>44</v>
      </c>
      <c r="K389" t="s">
        <v>45</v>
      </c>
      <c r="L389" t="s">
        <v>46</v>
      </c>
      <c r="M389" s="4">
        <v>7.47</v>
      </c>
      <c r="N389">
        <v>4</v>
      </c>
      <c r="O389" s="5">
        <v>0.1</v>
      </c>
      <c r="P389" s="4">
        <v>26.9</v>
      </c>
      <c r="Q389" s="4">
        <v>1.59</v>
      </c>
    </row>
    <row r="390" spans="1:17">
      <c r="A390" t="s">
        <v>519</v>
      </c>
      <c r="B390" s="3">
        <v>46000</v>
      </c>
      <c r="C390" s="3">
        <v>46004</v>
      </c>
      <c r="D390" t="s">
        <v>76</v>
      </c>
      <c r="E390" t="s">
        <v>77</v>
      </c>
      <c r="F390" t="s">
        <v>50</v>
      </c>
      <c r="G390" t="s">
        <v>41</v>
      </c>
      <c r="H390" t="s">
        <v>42</v>
      </c>
      <c r="I390" t="s">
        <v>43</v>
      </c>
      <c r="J390" t="s">
        <v>44</v>
      </c>
      <c r="K390" t="s">
        <v>143</v>
      </c>
      <c r="L390" t="s">
        <v>144</v>
      </c>
      <c r="M390" s="4">
        <v>16.920000000000002</v>
      </c>
      <c r="N390">
        <v>7</v>
      </c>
      <c r="O390" s="5">
        <v>0.1</v>
      </c>
      <c r="P390" s="4">
        <v>106.6</v>
      </c>
      <c r="Q390" s="4">
        <v>5.74</v>
      </c>
    </row>
    <row r="391" spans="1:17">
      <c r="A391" t="s">
        <v>520</v>
      </c>
      <c r="B391" s="3">
        <v>45836</v>
      </c>
      <c r="C391" s="3">
        <v>45839</v>
      </c>
      <c r="D391" t="s">
        <v>89</v>
      </c>
      <c r="E391" t="s">
        <v>90</v>
      </c>
      <c r="F391" t="s">
        <v>66</v>
      </c>
      <c r="G391" t="s">
        <v>41</v>
      </c>
      <c r="H391" t="s">
        <v>42</v>
      </c>
      <c r="I391" t="s">
        <v>101</v>
      </c>
      <c r="J391" t="s">
        <v>60</v>
      </c>
      <c r="K391" t="s">
        <v>61</v>
      </c>
      <c r="L391" t="s">
        <v>96</v>
      </c>
      <c r="M391" s="4">
        <v>91.91</v>
      </c>
      <c r="N391">
        <v>5</v>
      </c>
      <c r="O391" s="5">
        <v>0</v>
      </c>
      <c r="P391" s="4">
        <v>459.57</v>
      </c>
      <c r="Q391" s="4">
        <v>45.33</v>
      </c>
    </row>
    <row r="392" spans="1:17">
      <c r="A392" t="s">
        <v>521</v>
      </c>
      <c r="B392" s="3">
        <v>45944</v>
      </c>
      <c r="C392" s="3">
        <v>45945</v>
      </c>
      <c r="D392" t="s">
        <v>108</v>
      </c>
      <c r="E392" t="s">
        <v>109</v>
      </c>
      <c r="F392" t="s">
        <v>50</v>
      </c>
      <c r="G392" t="s">
        <v>41</v>
      </c>
      <c r="H392" t="s">
        <v>42</v>
      </c>
      <c r="I392" t="s">
        <v>119</v>
      </c>
      <c r="J392" t="s">
        <v>44</v>
      </c>
      <c r="K392" t="s">
        <v>140</v>
      </c>
      <c r="L392" t="s">
        <v>141</v>
      </c>
      <c r="M392" s="4">
        <v>27.24</v>
      </c>
      <c r="N392">
        <v>5</v>
      </c>
      <c r="O392" s="5">
        <v>0</v>
      </c>
      <c r="P392" s="4">
        <v>136.18</v>
      </c>
      <c r="Q392" s="4">
        <v>34.15</v>
      </c>
    </row>
    <row r="393" spans="1:17">
      <c r="A393" t="s">
        <v>522</v>
      </c>
      <c r="B393" s="3">
        <v>45782</v>
      </c>
      <c r="C393" s="3">
        <v>45789</v>
      </c>
      <c r="D393" t="s">
        <v>121</v>
      </c>
      <c r="E393" t="s">
        <v>122</v>
      </c>
      <c r="F393" t="s">
        <v>66</v>
      </c>
      <c r="G393" t="s">
        <v>57</v>
      </c>
      <c r="H393" t="s">
        <v>58</v>
      </c>
      <c r="I393" t="s">
        <v>67</v>
      </c>
      <c r="J393" t="s">
        <v>44</v>
      </c>
      <c r="K393" t="s">
        <v>140</v>
      </c>
      <c r="L393" t="s">
        <v>141</v>
      </c>
      <c r="M393" s="4">
        <v>24.79</v>
      </c>
      <c r="N393">
        <v>6</v>
      </c>
      <c r="O393" s="5">
        <v>0.2</v>
      </c>
      <c r="P393" s="4">
        <v>119.01</v>
      </c>
      <c r="Q393" s="4">
        <v>19.66</v>
      </c>
    </row>
    <row r="394" spans="1:17">
      <c r="A394" t="s">
        <v>523</v>
      </c>
      <c r="B394" s="3">
        <v>45982</v>
      </c>
      <c r="C394" s="3">
        <v>45989</v>
      </c>
      <c r="D394" t="s">
        <v>154</v>
      </c>
      <c r="E394" t="s">
        <v>155</v>
      </c>
      <c r="F394" t="s">
        <v>50</v>
      </c>
      <c r="G394" t="s">
        <v>41</v>
      </c>
      <c r="H394" t="s">
        <v>42</v>
      </c>
      <c r="I394" t="s">
        <v>119</v>
      </c>
      <c r="J394" t="s">
        <v>44</v>
      </c>
      <c r="K394" t="s">
        <v>110</v>
      </c>
      <c r="L394" t="s">
        <v>111</v>
      </c>
      <c r="M394" s="4">
        <v>12.48</v>
      </c>
      <c r="N394">
        <v>4</v>
      </c>
      <c r="O394" s="5">
        <v>0.15</v>
      </c>
      <c r="P394" s="4">
        <v>42.44</v>
      </c>
      <c r="Q394" s="4">
        <v>10.61</v>
      </c>
    </row>
    <row r="395" spans="1:17">
      <c r="A395" t="s">
        <v>524</v>
      </c>
      <c r="B395" s="3">
        <v>45805</v>
      </c>
      <c r="C395" s="3">
        <v>45806</v>
      </c>
      <c r="D395" t="s">
        <v>38</v>
      </c>
      <c r="E395" t="s">
        <v>39</v>
      </c>
      <c r="F395" t="s">
        <v>40</v>
      </c>
      <c r="G395" t="s">
        <v>57</v>
      </c>
      <c r="H395" t="s">
        <v>58</v>
      </c>
      <c r="I395" t="s">
        <v>67</v>
      </c>
      <c r="J395" t="s">
        <v>51</v>
      </c>
      <c r="K395" t="s">
        <v>52</v>
      </c>
      <c r="L395" t="s">
        <v>81</v>
      </c>
      <c r="M395" s="4">
        <v>73.48</v>
      </c>
      <c r="N395">
        <v>7</v>
      </c>
      <c r="O395" s="5">
        <v>0.15</v>
      </c>
      <c r="P395" s="4">
        <v>437.22</v>
      </c>
      <c r="Q395" s="4">
        <v>59.24</v>
      </c>
    </row>
    <row r="396" spans="1:17">
      <c r="A396" t="s">
        <v>525</v>
      </c>
      <c r="B396" s="3">
        <v>45795</v>
      </c>
      <c r="C396" s="3">
        <v>45797</v>
      </c>
      <c r="D396" t="s">
        <v>89</v>
      </c>
      <c r="E396" t="s">
        <v>90</v>
      </c>
      <c r="F396" t="s">
        <v>66</v>
      </c>
      <c r="G396" t="s">
        <v>85</v>
      </c>
      <c r="H396" t="s">
        <v>86</v>
      </c>
      <c r="I396" t="s">
        <v>160</v>
      </c>
      <c r="J396" t="s">
        <v>44</v>
      </c>
      <c r="K396" t="s">
        <v>45</v>
      </c>
      <c r="L396" t="s">
        <v>46</v>
      </c>
      <c r="M396" s="4">
        <v>8.3800000000000008</v>
      </c>
      <c r="N396">
        <v>4</v>
      </c>
      <c r="O396" s="5">
        <v>0.05</v>
      </c>
      <c r="P396" s="4">
        <v>31.84</v>
      </c>
      <c r="Q396" s="4">
        <v>3.46</v>
      </c>
    </row>
    <row r="397" spans="1:17">
      <c r="A397" t="s">
        <v>526</v>
      </c>
      <c r="B397" s="3">
        <v>45840</v>
      </c>
      <c r="C397" s="3">
        <v>45842</v>
      </c>
      <c r="D397" t="s">
        <v>158</v>
      </c>
      <c r="E397" t="s">
        <v>159</v>
      </c>
      <c r="F397" t="s">
        <v>50</v>
      </c>
      <c r="G397" t="s">
        <v>57</v>
      </c>
      <c r="H397" t="s">
        <v>58</v>
      </c>
      <c r="I397" t="s">
        <v>59</v>
      </c>
      <c r="J397" t="s">
        <v>51</v>
      </c>
      <c r="K397" t="s">
        <v>52</v>
      </c>
      <c r="L397" t="s">
        <v>53</v>
      </c>
      <c r="M397" s="4">
        <v>48.78</v>
      </c>
      <c r="N397">
        <v>2</v>
      </c>
      <c r="O397" s="5">
        <v>0</v>
      </c>
      <c r="P397" s="4">
        <v>97.56</v>
      </c>
      <c r="Q397" s="4">
        <v>21.36</v>
      </c>
    </row>
    <row r="398" spans="1:17">
      <c r="A398" t="s">
        <v>527</v>
      </c>
      <c r="B398" s="3">
        <v>45819</v>
      </c>
      <c r="C398" s="3">
        <v>45823</v>
      </c>
      <c r="D398" t="s">
        <v>158</v>
      </c>
      <c r="E398" t="s">
        <v>159</v>
      </c>
      <c r="F398" t="s">
        <v>50</v>
      </c>
      <c r="G398" t="s">
        <v>41</v>
      </c>
      <c r="H398" t="s">
        <v>42</v>
      </c>
      <c r="I398" t="s">
        <v>101</v>
      </c>
      <c r="J398" t="s">
        <v>44</v>
      </c>
      <c r="K398" t="s">
        <v>165</v>
      </c>
      <c r="L398" t="s">
        <v>166</v>
      </c>
      <c r="M398" s="4">
        <v>14.05</v>
      </c>
      <c r="N398">
        <v>5</v>
      </c>
      <c r="O398" s="5">
        <v>0.05</v>
      </c>
      <c r="P398" s="4">
        <v>66.73</v>
      </c>
      <c r="Q398" s="4">
        <v>16.09</v>
      </c>
    </row>
    <row r="399" spans="1:17">
      <c r="A399" t="s">
        <v>528</v>
      </c>
      <c r="B399" s="3">
        <v>45874</v>
      </c>
      <c r="C399" s="3">
        <v>45878</v>
      </c>
      <c r="D399" t="s">
        <v>48</v>
      </c>
      <c r="E399" t="s">
        <v>49</v>
      </c>
      <c r="F399" t="s">
        <v>40</v>
      </c>
      <c r="G399" t="s">
        <v>78</v>
      </c>
      <c r="H399" t="s">
        <v>79</v>
      </c>
      <c r="I399" t="s">
        <v>135</v>
      </c>
      <c r="J399" t="s">
        <v>51</v>
      </c>
      <c r="K399" t="s">
        <v>125</v>
      </c>
      <c r="L399" t="s">
        <v>126</v>
      </c>
      <c r="M399" s="4">
        <v>824.04</v>
      </c>
      <c r="N399">
        <v>1</v>
      </c>
      <c r="O399" s="5">
        <v>0.1</v>
      </c>
      <c r="P399" s="4">
        <v>741.64</v>
      </c>
      <c r="Q399" s="4">
        <v>196.61</v>
      </c>
    </row>
    <row r="400" spans="1:17">
      <c r="A400" t="s">
        <v>529</v>
      </c>
      <c r="B400" s="3">
        <v>46010</v>
      </c>
      <c r="C400" s="3">
        <v>46011</v>
      </c>
      <c r="D400" t="s">
        <v>55</v>
      </c>
      <c r="E400" t="s">
        <v>56</v>
      </c>
      <c r="F400" t="s">
        <v>40</v>
      </c>
      <c r="G400" t="s">
        <v>78</v>
      </c>
      <c r="H400" t="s">
        <v>79</v>
      </c>
      <c r="I400" t="s">
        <v>135</v>
      </c>
      <c r="J400" t="s">
        <v>60</v>
      </c>
      <c r="K400" t="s">
        <v>61</v>
      </c>
      <c r="L400" t="s">
        <v>62</v>
      </c>
      <c r="M400" s="4">
        <v>61.24</v>
      </c>
      <c r="N400">
        <v>1</v>
      </c>
      <c r="O400" s="5">
        <v>0.15</v>
      </c>
      <c r="P400" s="4">
        <v>52.05</v>
      </c>
      <c r="Q400" s="4">
        <v>10.16</v>
      </c>
    </row>
    <row r="401" spans="1:17">
      <c r="A401" t="s">
        <v>530</v>
      </c>
      <c r="B401" s="3">
        <v>45899</v>
      </c>
      <c r="C401" s="3">
        <v>45904</v>
      </c>
      <c r="D401" t="s">
        <v>93</v>
      </c>
      <c r="E401" t="s">
        <v>94</v>
      </c>
      <c r="F401" t="s">
        <v>40</v>
      </c>
      <c r="G401" t="s">
        <v>57</v>
      </c>
      <c r="H401" t="s">
        <v>58</v>
      </c>
      <c r="I401" t="s">
        <v>59</v>
      </c>
      <c r="J401" t="s">
        <v>44</v>
      </c>
      <c r="K401" t="s">
        <v>45</v>
      </c>
      <c r="L401" t="s">
        <v>46</v>
      </c>
      <c r="M401" s="4">
        <v>7.49</v>
      </c>
      <c r="N401">
        <v>6</v>
      </c>
      <c r="O401" s="5">
        <v>0</v>
      </c>
      <c r="P401" s="4">
        <v>44.97</v>
      </c>
      <c r="Q401" s="4">
        <v>7.01</v>
      </c>
    </row>
    <row r="402" spans="1:17">
      <c r="A402" t="s">
        <v>531</v>
      </c>
      <c r="B402" s="3">
        <v>45950</v>
      </c>
      <c r="C402" s="3">
        <v>45952</v>
      </c>
      <c r="D402" t="s">
        <v>132</v>
      </c>
      <c r="E402" t="s">
        <v>133</v>
      </c>
      <c r="F402" t="s">
        <v>66</v>
      </c>
      <c r="G402" t="s">
        <v>57</v>
      </c>
      <c r="H402" t="s">
        <v>58</v>
      </c>
      <c r="I402" t="s">
        <v>91</v>
      </c>
      <c r="J402" t="s">
        <v>44</v>
      </c>
      <c r="K402" t="s">
        <v>143</v>
      </c>
      <c r="L402" t="s">
        <v>144</v>
      </c>
      <c r="M402" s="4">
        <v>16.559999999999999</v>
      </c>
      <c r="N402">
        <v>4</v>
      </c>
      <c r="O402" s="5">
        <v>0.2</v>
      </c>
      <c r="P402" s="4">
        <v>52.99</v>
      </c>
      <c r="Q402" s="4">
        <v>6.23</v>
      </c>
    </row>
    <row r="403" spans="1:17">
      <c r="A403" t="s">
        <v>532</v>
      </c>
      <c r="B403" s="3">
        <v>45662</v>
      </c>
      <c r="C403" s="3">
        <v>45664</v>
      </c>
      <c r="D403" t="s">
        <v>121</v>
      </c>
      <c r="E403" t="s">
        <v>122</v>
      </c>
      <c r="F403" t="s">
        <v>50</v>
      </c>
      <c r="G403" t="s">
        <v>78</v>
      </c>
      <c r="H403" t="s">
        <v>79</v>
      </c>
      <c r="I403" t="s">
        <v>124</v>
      </c>
      <c r="J403" t="s">
        <v>51</v>
      </c>
      <c r="K403" t="s">
        <v>52</v>
      </c>
      <c r="L403" t="s">
        <v>53</v>
      </c>
      <c r="M403" s="4">
        <v>41.71</v>
      </c>
      <c r="N403">
        <v>7</v>
      </c>
      <c r="O403" s="5">
        <v>0.05</v>
      </c>
      <c r="P403" s="4">
        <v>277.37</v>
      </c>
      <c r="Q403" s="4">
        <v>75.81</v>
      </c>
    </row>
    <row r="404" spans="1:17">
      <c r="A404" t="s">
        <v>533</v>
      </c>
      <c r="B404" s="3">
        <v>45682</v>
      </c>
      <c r="C404" s="3">
        <v>45686</v>
      </c>
      <c r="D404" t="s">
        <v>89</v>
      </c>
      <c r="E404" t="s">
        <v>90</v>
      </c>
      <c r="F404" t="s">
        <v>66</v>
      </c>
      <c r="G404" t="s">
        <v>57</v>
      </c>
      <c r="H404" t="s">
        <v>58</v>
      </c>
      <c r="I404" t="s">
        <v>91</v>
      </c>
      <c r="J404" t="s">
        <v>44</v>
      </c>
      <c r="K404" t="s">
        <v>140</v>
      </c>
      <c r="L404" t="s">
        <v>141</v>
      </c>
      <c r="M404" s="4">
        <v>23.32</v>
      </c>
      <c r="N404">
        <v>2</v>
      </c>
      <c r="O404" s="5">
        <v>0.15</v>
      </c>
      <c r="P404" s="4">
        <v>39.64</v>
      </c>
      <c r="Q404" s="4">
        <v>4.12</v>
      </c>
    </row>
    <row r="405" spans="1:17">
      <c r="A405" t="s">
        <v>534</v>
      </c>
      <c r="B405" s="3">
        <v>45842</v>
      </c>
      <c r="C405" s="3">
        <v>45847</v>
      </c>
      <c r="D405" t="s">
        <v>76</v>
      </c>
      <c r="E405" t="s">
        <v>77</v>
      </c>
      <c r="F405" t="s">
        <v>40</v>
      </c>
      <c r="G405" t="s">
        <v>41</v>
      </c>
      <c r="H405" t="s">
        <v>42</v>
      </c>
      <c r="I405" t="s">
        <v>119</v>
      </c>
      <c r="J405" t="s">
        <v>44</v>
      </c>
      <c r="K405" t="s">
        <v>165</v>
      </c>
      <c r="L405" t="s">
        <v>166</v>
      </c>
      <c r="M405" s="4">
        <v>13.56</v>
      </c>
      <c r="N405">
        <v>5</v>
      </c>
      <c r="O405" s="5">
        <v>0</v>
      </c>
      <c r="P405" s="4">
        <v>67.8</v>
      </c>
      <c r="Q405" s="4">
        <v>5.44</v>
      </c>
    </row>
    <row r="406" spans="1:17">
      <c r="A406" t="s">
        <v>535</v>
      </c>
      <c r="B406" s="3">
        <v>45803</v>
      </c>
      <c r="C406" s="3">
        <v>45806</v>
      </c>
      <c r="D406" t="s">
        <v>132</v>
      </c>
      <c r="E406" t="s">
        <v>133</v>
      </c>
      <c r="F406" t="s">
        <v>40</v>
      </c>
      <c r="G406" t="s">
        <v>85</v>
      </c>
      <c r="H406" t="s">
        <v>86</v>
      </c>
      <c r="I406" t="s">
        <v>87</v>
      </c>
      <c r="J406" t="s">
        <v>60</v>
      </c>
      <c r="K406" t="s">
        <v>61</v>
      </c>
      <c r="L406" t="s">
        <v>96</v>
      </c>
      <c r="M406" s="4">
        <v>90.19</v>
      </c>
      <c r="N406">
        <v>6</v>
      </c>
      <c r="O406" s="5">
        <v>0.15</v>
      </c>
      <c r="P406" s="4">
        <v>459.96</v>
      </c>
      <c r="Q406" s="4">
        <v>112.09</v>
      </c>
    </row>
    <row r="407" spans="1:17">
      <c r="A407" t="s">
        <v>536</v>
      </c>
      <c r="B407" s="3">
        <v>45743</v>
      </c>
      <c r="C407" s="3">
        <v>45749</v>
      </c>
      <c r="D407" t="s">
        <v>113</v>
      </c>
      <c r="E407" t="s">
        <v>114</v>
      </c>
      <c r="F407" t="s">
        <v>40</v>
      </c>
      <c r="G407" t="s">
        <v>41</v>
      </c>
      <c r="H407" t="s">
        <v>42</v>
      </c>
      <c r="I407" t="s">
        <v>119</v>
      </c>
      <c r="J407" t="s">
        <v>44</v>
      </c>
      <c r="K407" t="s">
        <v>143</v>
      </c>
      <c r="L407" t="s">
        <v>144</v>
      </c>
      <c r="M407" s="4">
        <v>18.47</v>
      </c>
      <c r="N407">
        <v>6</v>
      </c>
      <c r="O407" s="5">
        <v>0.05</v>
      </c>
      <c r="P407" s="4">
        <v>105.29</v>
      </c>
      <c r="Q407" s="4">
        <v>20.309999999999999</v>
      </c>
    </row>
    <row r="408" spans="1:17">
      <c r="A408" t="s">
        <v>537</v>
      </c>
      <c r="B408" s="3">
        <v>45820</v>
      </c>
      <c r="C408" s="3">
        <v>45826</v>
      </c>
      <c r="D408" t="s">
        <v>55</v>
      </c>
      <c r="E408" t="s">
        <v>56</v>
      </c>
      <c r="F408" t="s">
        <v>50</v>
      </c>
      <c r="G408" t="s">
        <v>41</v>
      </c>
      <c r="H408" t="s">
        <v>42</v>
      </c>
      <c r="I408" t="s">
        <v>43</v>
      </c>
      <c r="J408" t="s">
        <v>44</v>
      </c>
      <c r="K408" t="s">
        <v>45</v>
      </c>
      <c r="L408" t="s">
        <v>46</v>
      </c>
      <c r="M408" s="4">
        <v>7.63</v>
      </c>
      <c r="N408">
        <v>5</v>
      </c>
      <c r="O408" s="5">
        <v>0.15</v>
      </c>
      <c r="P408" s="4">
        <v>32.42</v>
      </c>
      <c r="Q408" s="4">
        <v>6.85</v>
      </c>
    </row>
    <row r="409" spans="1:17">
      <c r="A409" t="s">
        <v>538</v>
      </c>
      <c r="B409" s="3">
        <v>45869</v>
      </c>
      <c r="C409" s="3">
        <v>45871</v>
      </c>
      <c r="D409" t="s">
        <v>83</v>
      </c>
      <c r="E409" t="s">
        <v>84</v>
      </c>
      <c r="F409" t="s">
        <v>40</v>
      </c>
      <c r="G409" t="s">
        <v>78</v>
      </c>
      <c r="H409" t="s">
        <v>79</v>
      </c>
      <c r="I409" t="s">
        <v>124</v>
      </c>
      <c r="J409" t="s">
        <v>60</v>
      </c>
      <c r="K409" t="s">
        <v>61</v>
      </c>
      <c r="L409" t="s">
        <v>96</v>
      </c>
      <c r="M409" s="4">
        <v>81.42</v>
      </c>
      <c r="N409">
        <v>3</v>
      </c>
      <c r="O409" s="5">
        <v>0.2</v>
      </c>
      <c r="P409" s="4">
        <v>195.4</v>
      </c>
      <c r="Q409" s="4">
        <v>45.32</v>
      </c>
    </row>
    <row r="410" spans="1:17">
      <c r="A410" t="s">
        <v>539</v>
      </c>
      <c r="B410" s="3">
        <v>45690</v>
      </c>
      <c r="C410" s="3">
        <v>45694</v>
      </c>
      <c r="D410" t="s">
        <v>108</v>
      </c>
      <c r="E410" t="s">
        <v>109</v>
      </c>
      <c r="F410" t="s">
        <v>50</v>
      </c>
      <c r="G410" t="s">
        <v>41</v>
      </c>
      <c r="H410" t="s">
        <v>42</v>
      </c>
      <c r="I410" t="s">
        <v>43</v>
      </c>
      <c r="J410" t="s">
        <v>44</v>
      </c>
      <c r="K410" t="s">
        <v>110</v>
      </c>
      <c r="L410" t="s">
        <v>111</v>
      </c>
      <c r="M410" s="4">
        <v>12.65</v>
      </c>
      <c r="N410">
        <v>1</v>
      </c>
      <c r="O410" s="5">
        <v>0</v>
      </c>
      <c r="P410" s="4">
        <v>12.65</v>
      </c>
      <c r="Q410" s="4">
        <v>2.29</v>
      </c>
    </row>
    <row r="411" spans="1:17">
      <c r="A411" t="s">
        <v>540</v>
      </c>
      <c r="B411" s="3">
        <v>45816</v>
      </c>
      <c r="C411" s="3">
        <v>45818</v>
      </c>
      <c r="D411" t="s">
        <v>154</v>
      </c>
      <c r="E411" t="s">
        <v>155</v>
      </c>
      <c r="F411" t="s">
        <v>40</v>
      </c>
      <c r="G411" t="s">
        <v>41</v>
      </c>
      <c r="H411" t="s">
        <v>42</v>
      </c>
      <c r="I411" t="s">
        <v>119</v>
      </c>
      <c r="J411" t="s">
        <v>51</v>
      </c>
      <c r="K411" t="s">
        <v>125</v>
      </c>
      <c r="L411" t="s">
        <v>126</v>
      </c>
      <c r="M411" s="4">
        <v>813.31</v>
      </c>
      <c r="N411">
        <v>4</v>
      </c>
      <c r="O411" s="5">
        <v>0.15</v>
      </c>
      <c r="P411" s="4">
        <v>2765.25</v>
      </c>
      <c r="Q411" s="4">
        <v>571.36</v>
      </c>
    </row>
    <row r="412" spans="1:17">
      <c r="A412" t="s">
        <v>541</v>
      </c>
      <c r="B412" s="3">
        <v>45901</v>
      </c>
      <c r="C412" s="3">
        <v>45905</v>
      </c>
      <c r="D412" t="s">
        <v>55</v>
      </c>
      <c r="E412" t="s">
        <v>56</v>
      </c>
      <c r="F412" t="s">
        <v>50</v>
      </c>
      <c r="G412" t="s">
        <v>85</v>
      </c>
      <c r="H412" t="s">
        <v>86</v>
      </c>
      <c r="I412" t="s">
        <v>95</v>
      </c>
      <c r="J412" t="s">
        <v>60</v>
      </c>
      <c r="K412" t="s">
        <v>128</v>
      </c>
      <c r="L412" t="s">
        <v>129</v>
      </c>
      <c r="M412" s="4">
        <v>276.91000000000003</v>
      </c>
      <c r="N412">
        <v>5</v>
      </c>
      <c r="O412" s="5">
        <v>0.1</v>
      </c>
      <c r="P412" s="4">
        <v>1246.0999999999999</v>
      </c>
      <c r="Q412" s="4">
        <v>364.34</v>
      </c>
    </row>
    <row r="413" spans="1:17">
      <c r="A413" t="s">
        <v>542</v>
      </c>
      <c r="B413" s="3">
        <v>45926</v>
      </c>
      <c r="C413" s="3">
        <v>45932</v>
      </c>
      <c r="D413" t="s">
        <v>98</v>
      </c>
      <c r="E413" t="s">
        <v>99</v>
      </c>
      <c r="F413" t="s">
        <v>40</v>
      </c>
      <c r="G413" t="s">
        <v>85</v>
      </c>
      <c r="H413" t="s">
        <v>86</v>
      </c>
      <c r="I413" t="s">
        <v>87</v>
      </c>
      <c r="J413" t="s">
        <v>44</v>
      </c>
      <c r="K413" t="s">
        <v>140</v>
      </c>
      <c r="L413" t="s">
        <v>141</v>
      </c>
      <c r="M413" s="4">
        <v>24.91</v>
      </c>
      <c r="N413">
        <v>5</v>
      </c>
      <c r="O413" s="5">
        <v>0</v>
      </c>
      <c r="P413" s="4">
        <v>124.54</v>
      </c>
      <c r="Q413" s="4">
        <v>-6.32</v>
      </c>
    </row>
    <row r="414" spans="1:17">
      <c r="A414" t="s">
        <v>543</v>
      </c>
      <c r="B414" s="3">
        <v>45925</v>
      </c>
      <c r="C414" s="3">
        <v>45932</v>
      </c>
      <c r="D414" t="s">
        <v>221</v>
      </c>
      <c r="E414" t="s">
        <v>222</v>
      </c>
      <c r="F414" t="s">
        <v>50</v>
      </c>
      <c r="G414" t="s">
        <v>78</v>
      </c>
      <c r="H414" t="s">
        <v>79</v>
      </c>
      <c r="I414" t="s">
        <v>124</v>
      </c>
      <c r="J414" t="s">
        <v>44</v>
      </c>
      <c r="K414" t="s">
        <v>110</v>
      </c>
      <c r="L414" t="s">
        <v>111</v>
      </c>
      <c r="M414" s="4">
        <v>11.49</v>
      </c>
      <c r="N414">
        <v>3</v>
      </c>
      <c r="O414" s="5">
        <v>0</v>
      </c>
      <c r="P414" s="4">
        <v>34.46</v>
      </c>
      <c r="Q414" s="4">
        <v>6.33</v>
      </c>
    </row>
    <row r="415" spans="1:17">
      <c r="A415" t="s">
        <v>544</v>
      </c>
      <c r="B415" s="3">
        <v>45963</v>
      </c>
      <c r="C415" s="3">
        <v>45965</v>
      </c>
      <c r="D415" t="s">
        <v>105</v>
      </c>
      <c r="E415" t="s">
        <v>106</v>
      </c>
      <c r="F415" t="s">
        <v>66</v>
      </c>
      <c r="G415" t="s">
        <v>78</v>
      </c>
      <c r="H415" t="s">
        <v>79</v>
      </c>
      <c r="I415" t="s">
        <v>124</v>
      </c>
      <c r="J415" t="s">
        <v>51</v>
      </c>
      <c r="K415" t="s">
        <v>68</v>
      </c>
      <c r="L415" t="s">
        <v>69</v>
      </c>
      <c r="M415" s="4">
        <v>1413.36</v>
      </c>
      <c r="N415">
        <v>1</v>
      </c>
      <c r="O415" s="5">
        <v>0.1</v>
      </c>
      <c r="P415" s="4">
        <v>1272.02</v>
      </c>
      <c r="Q415" s="4">
        <v>194.54</v>
      </c>
    </row>
    <row r="416" spans="1:17">
      <c r="A416" t="s">
        <v>545</v>
      </c>
      <c r="B416" s="3">
        <v>45770</v>
      </c>
      <c r="C416" s="3">
        <v>45773</v>
      </c>
      <c r="D416" t="s">
        <v>154</v>
      </c>
      <c r="E416" t="s">
        <v>155</v>
      </c>
      <c r="F416" t="s">
        <v>50</v>
      </c>
      <c r="G416" t="s">
        <v>78</v>
      </c>
      <c r="H416" t="s">
        <v>79</v>
      </c>
      <c r="I416" t="s">
        <v>135</v>
      </c>
      <c r="J416" t="s">
        <v>60</v>
      </c>
      <c r="K416" t="s">
        <v>61</v>
      </c>
      <c r="L416" t="s">
        <v>62</v>
      </c>
      <c r="M416" s="4">
        <v>66.63</v>
      </c>
      <c r="N416">
        <v>2</v>
      </c>
      <c r="O416" s="5">
        <v>0.05</v>
      </c>
      <c r="P416" s="4">
        <v>126.6</v>
      </c>
      <c r="Q416" s="4">
        <v>22.68</v>
      </c>
    </row>
    <row r="417" spans="1:17">
      <c r="A417" t="s">
        <v>546</v>
      </c>
      <c r="B417" s="3">
        <v>45869</v>
      </c>
      <c r="C417" s="3">
        <v>45871</v>
      </c>
      <c r="D417" t="s">
        <v>93</v>
      </c>
      <c r="E417" t="s">
        <v>94</v>
      </c>
      <c r="F417" t="s">
        <v>40</v>
      </c>
      <c r="G417" t="s">
        <v>57</v>
      </c>
      <c r="H417" t="s">
        <v>58</v>
      </c>
      <c r="I417" t="s">
        <v>91</v>
      </c>
      <c r="J417" t="s">
        <v>60</v>
      </c>
      <c r="K417" t="s">
        <v>61</v>
      </c>
      <c r="L417" t="s">
        <v>96</v>
      </c>
      <c r="M417" s="4">
        <v>83.46</v>
      </c>
      <c r="N417">
        <v>2</v>
      </c>
      <c r="O417" s="5">
        <v>0</v>
      </c>
      <c r="P417" s="4">
        <v>166.92</v>
      </c>
      <c r="Q417" s="4">
        <v>12.95</v>
      </c>
    </row>
    <row r="418" spans="1:17">
      <c r="A418" t="s">
        <v>547</v>
      </c>
      <c r="B418" s="3">
        <v>45822</v>
      </c>
      <c r="C418" s="3">
        <v>45823</v>
      </c>
      <c r="D418" t="s">
        <v>163</v>
      </c>
      <c r="E418" t="s">
        <v>164</v>
      </c>
      <c r="F418" t="s">
        <v>40</v>
      </c>
      <c r="G418" t="s">
        <v>78</v>
      </c>
      <c r="H418" t="s">
        <v>79</v>
      </c>
      <c r="I418" t="s">
        <v>124</v>
      </c>
      <c r="J418" t="s">
        <v>60</v>
      </c>
      <c r="K418" t="s">
        <v>61</v>
      </c>
      <c r="L418" t="s">
        <v>62</v>
      </c>
      <c r="M418" s="4">
        <v>71.11</v>
      </c>
      <c r="N418">
        <v>3</v>
      </c>
      <c r="O418" s="5">
        <v>0</v>
      </c>
      <c r="P418" s="4">
        <v>213.32</v>
      </c>
      <c r="Q418" s="4">
        <v>11.85</v>
      </c>
    </row>
    <row r="419" spans="1:17">
      <c r="A419" t="s">
        <v>548</v>
      </c>
      <c r="B419" s="3">
        <v>45777</v>
      </c>
      <c r="C419" s="3">
        <v>45778</v>
      </c>
      <c r="D419" t="s">
        <v>221</v>
      </c>
      <c r="E419" t="s">
        <v>222</v>
      </c>
      <c r="F419" t="s">
        <v>50</v>
      </c>
      <c r="G419" t="s">
        <v>57</v>
      </c>
      <c r="H419" t="s">
        <v>58</v>
      </c>
      <c r="I419" t="s">
        <v>91</v>
      </c>
      <c r="J419" t="s">
        <v>60</v>
      </c>
      <c r="K419" t="s">
        <v>61</v>
      </c>
      <c r="L419" t="s">
        <v>62</v>
      </c>
      <c r="M419" s="4">
        <v>64.92</v>
      </c>
      <c r="N419">
        <v>3</v>
      </c>
      <c r="O419" s="5">
        <v>0</v>
      </c>
      <c r="P419" s="4">
        <v>194.75</v>
      </c>
      <c r="Q419" s="4">
        <v>26.38</v>
      </c>
    </row>
    <row r="420" spans="1:17">
      <c r="A420" t="s">
        <v>549</v>
      </c>
      <c r="B420" s="3">
        <v>45699</v>
      </c>
      <c r="C420" s="3">
        <v>45706</v>
      </c>
      <c r="D420" t="s">
        <v>55</v>
      </c>
      <c r="E420" t="s">
        <v>56</v>
      </c>
      <c r="F420" t="s">
        <v>66</v>
      </c>
      <c r="G420" t="s">
        <v>78</v>
      </c>
      <c r="H420" t="s">
        <v>79</v>
      </c>
      <c r="I420" t="s">
        <v>124</v>
      </c>
      <c r="J420" t="s">
        <v>60</v>
      </c>
      <c r="K420" t="s">
        <v>73</v>
      </c>
      <c r="L420" t="s">
        <v>74</v>
      </c>
      <c r="M420" s="4">
        <v>371.79</v>
      </c>
      <c r="N420">
        <v>3</v>
      </c>
      <c r="O420" s="5">
        <v>0</v>
      </c>
      <c r="P420" s="4">
        <v>1115.3599999999999</v>
      </c>
      <c r="Q420" s="4">
        <v>165.19</v>
      </c>
    </row>
    <row r="421" spans="1:17">
      <c r="A421" t="s">
        <v>550</v>
      </c>
      <c r="B421" s="3">
        <v>45785</v>
      </c>
      <c r="C421" s="3">
        <v>45789</v>
      </c>
      <c r="D421" t="s">
        <v>108</v>
      </c>
      <c r="E421" t="s">
        <v>109</v>
      </c>
      <c r="F421" t="s">
        <v>66</v>
      </c>
      <c r="G421" t="s">
        <v>85</v>
      </c>
      <c r="H421" t="s">
        <v>86</v>
      </c>
      <c r="I421" t="s">
        <v>95</v>
      </c>
      <c r="J421" t="s">
        <v>44</v>
      </c>
      <c r="K421" t="s">
        <v>110</v>
      </c>
      <c r="L421" t="s">
        <v>111</v>
      </c>
      <c r="M421" s="4">
        <v>12.57</v>
      </c>
      <c r="N421">
        <v>8</v>
      </c>
      <c r="O421" s="5">
        <v>0</v>
      </c>
      <c r="P421" s="4">
        <v>100.56</v>
      </c>
      <c r="Q421" s="4">
        <v>5.87</v>
      </c>
    </row>
    <row r="422" spans="1:17">
      <c r="A422" t="s">
        <v>551</v>
      </c>
      <c r="B422" s="3">
        <v>46006</v>
      </c>
      <c r="C422" s="3">
        <v>46009</v>
      </c>
      <c r="D422" t="s">
        <v>154</v>
      </c>
      <c r="E422" t="s">
        <v>155</v>
      </c>
      <c r="F422" t="s">
        <v>40</v>
      </c>
      <c r="G422" t="s">
        <v>41</v>
      </c>
      <c r="H422" t="s">
        <v>42</v>
      </c>
      <c r="I422" t="s">
        <v>101</v>
      </c>
      <c r="J422" t="s">
        <v>51</v>
      </c>
      <c r="K422" t="s">
        <v>68</v>
      </c>
      <c r="L422" t="s">
        <v>69</v>
      </c>
      <c r="M422" s="4">
        <v>1487.46</v>
      </c>
      <c r="N422">
        <v>6</v>
      </c>
      <c r="O422" s="5">
        <v>0</v>
      </c>
      <c r="P422" s="4">
        <v>8924.75</v>
      </c>
      <c r="Q422" s="4">
        <v>540.36</v>
      </c>
    </row>
    <row r="423" spans="1:17">
      <c r="A423" t="s">
        <v>552</v>
      </c>
      <c r="B423" s="3">
        <v>45842</v>
      </c>
      <c r="C423" s="3">
        <v>45843</v>
      </c>
      <c r="D423" t="s">
        <v>163</v>
      </c>
      <c r="E423" t="s">
        <v>164</v>
      </c>
      <c r="F423" t="s">
        <v>66</v>
      </c>
      <c r="G423" t="s">
        <v>41</v>
      </c>
      <c r="H423" t="s">
        <v>42</v>
      </c>
      <c r="I423" t="s">
        <v>119</v>
      </c>
      <c r="J423" t="s">
        <v>60</v>
      </c>
      <c r="K423" t="s">
        <v>128</v>
      </c>
      <c r="L423" t="s">
        <v>129</v>
      </c>
      <c r="M423" s="4">
        <v>265.20999999999998</v>
      </c>
      <c r="N423">
        <v>4</v>
      </c>
      <c r="O423" s="5">
        <v>0</v>
      </c>
      <c r="P423" s="4">
        <v>1060.8599999999999</v>
      </c>
      <c r="Q423" s="4">
        <v>-105.49</v>
      </c>
    </row>
    <row r="424" spans="1:17">
      <c r="A424" t="s">
        <v>553</v>
      </c>
      <c r="B424" s="3">
        <v>46011</v>
      </c>
      <c r="C424" s="3">
        <v>46015</v>
      </c>
      <c r="D424" t="s">
        <v>89</v>
      </c>
      <c r="E424" t="s">
        <v>90</v>
      </c>
      <c r="F424" t="s">
        <v>50</v>
      </c>
      <c r="G424" t="s">
        <v>41</v>
      </c>
      <c r="H424" t="s">
        <v>42</v>
      </c>
      <c r="I424" t="s">
        <v>119</v>
      </c>
      <c r="J424" t="s">
        <v>51</v>
      </c>
      <c r="K424" t="s">
        <v>125</v>
      </c>
      <c r="L424" t="s">
        <v>126</v>
      </c>
      <c r="M424" s="4">
        <v>896.04</v>
      </c>
      <c r="N424">
        <v>3</v>
      </c>
      <c r="O424" s="5">
        <v>0</v>
      </c>
      <c r="P424" s="4">
        <v>2688.11</v>
      </c>
      <c r="Q424" s="4">
        <v>301.55</v>
      </c>
    </row>
    <row r="425" spans="1:17">
      <c r="A425" t="s">
        <v>554</v>
      </c>
      <c r="B425" s="3">
        <v>46017</v>
      </c>
      <c r="C425" s="3">
        <v>46022</v>
      </c>
      <c r="D425" t="s">
        <v>113</v>
      </c>
      <c r="E425" t="s">
        <v>114</v>
      </c>
      <c r="F425" t="s">
        <v>50</v>
      </c>
      <c r="G425" t="s">
        <v>57</v>
      </c>
      <c r="H425" t="s">
        <v>58</v>
      </c>
      <c r="I425" t="s">
        <v>67</v>
      </c>
      <c r="J425" t="s">
        <v>51</v>
      </c>
      <c r="K425" t="s">
        <v>52</v>
      </c>
      <c r="L425" t="s">
        <v>81</v>
      </c>
      <c r="M425" s="4">
        <v>69.83</v>
      </c>
      <c r="N425">
        <v>2</v>
      </c>
      <c r="O425" s="5">
        <v>0</v>
      </c>
      <c r="P425" s="4">
        <v>139.66</v>
      </c>
      <c r="Q425" s="4">
        <v>18.04</v>
      </c>
    </row>
    <row r="426" spans="1:17">
      <c r="A426" t="s">
        <v>555</v>
      </c>
      <c r="B426" s="3">
        <v>45841</v>
      </c>
      <c r="C426" s="3">
        <v>45847</v>
      </c>
      <c r="D426" t="s">
        <v>154</v>
      </c>
      <c r="E426" t="s">
        <v>155</v>
      </c>
      <c r="F426" t="s">
        <v>40</v>
      </c>
      <c r="G426" t="s">
        <v>57</v>
      </c>
      <c r="H426" t="s">
        <v>58</v>
      </c>
      <c r="I426" t="s">
        <v>91</v>
      </c>
      <c r="J426" t="s">
        <v>51</v>
      </c>
      <c r="K426" t="s">
        <v>125</v>
      </c>
      <c r="L426" t="s">
        <v>126</v>
      </c>
      <c r="M426" s="4">
        <v>917.77</v>
      </c>
      <c r="N426">
        <v>3</v>
      </c>
      <c r="O426" s="5">
        <v>0</v>
      </c>
      <c r="P426" s="4">
        <v>2753.32</v>
      </c>
      <c r="Q426" s="4">
        <v>471.71</v>
      </c>
    </row>
    <row r="427" spans="1:17">
      <c r="A427" t="s">
        <v>556</v>
      </c>
      <c r="B427" s="3">
        <v>45753</v>
      </c>
      <c r="C427" s="3">
        <v>45758</v>
      </c>
      <c r="D427" t="s">
        <v>89</v>
      </c>
      <c r="E427" t="s">
        <v>90</v>
      </c>
      <c r="F427" t="s">
        <v>40</v>
      </c>
      <c r="G427" t="s">
        <v>57</v>
      </c>
      <c r="H427" t="s">
        <v>58</v>
      </c>
      <c r="I427" t="s">
        <v>67</v>
      </c>
      <c r="J427" t="s">
        <v>44</v>
      </c>
      <c r="K427" t="s">
        <v>45</v>
      </c>
      <c r="L427" t="s">
        <v>46</v>
      </c>
      <c r="M427" s="4">
        <v>8.3699999999999992</v>
      </c>
      <c r="N427">
        <v>6</v>
      </c>
      <c r="O427" s="5">
        <v>0</v>
      </c>
      <c r="P427" s="4">
        <v>50.23</v>
      </c>
      <c r="Q427" s="4">
        <v>5.97</v>
      </c>
    </row>
    <row r="428" spans="1:17">
      <c r="A428" t="s">
        <v>557</v>
      </c>
      <c r="B428" s="3">
        <v>45792</v>
      </c>
      <c r="C428" s="3">
        <v>45797</v>
      </c>
      <c r="D428" t="s">
        <v>105</v>
      </c>
      <c r="E428" t="s">
        <v>106</v>
      </c>
      <c r="F428" t="s">
        <v>40</v>
      </c>
      <c r="G428" t="s">
        <v>85</v>
      </c>
      <c r="H428" t="s">
        <v>86</v>
      </c>
      <c r="I428" t="s">
        <v>95</v>
      </c>
      <c r="J428" t="s">
        <v>51</v>
      </c>
      <c r="K428" t="s">
        <v>68</v>
      </c>
      <c r="L428" t="s">
        <v>69</v>
      </c>
      <c r="M428" s="4">
        <v>1305.21</v>
      </c>
      <c r="N428">
        <v>6</v>
      </c>
      <c r="O428" s="5">
        <v>0.05</v>
      </c>
      <c r="P428" s="4">
        <v>7439.69</v>
      </c>
      <c r="Q428" s="4">
        <v>1558.66</v>
      </c>
    </row>
    <row r="429" spans="1:17">
      <c r="A429" t="s">
        <v>558</v>
      </c>
      <c r="B429" s="3">
        <v>45822</v>
      </c>
      <c r="C429" s="3">
        <v>45828</v>
      </c>
      <c r="D429" t="s">
        <v>38</v>
      </c>
      <c r="E429" t="s">
        <v>39</v>
      </c>
      <c r="F429" t="s">
        <v>40</v>
      </c>
      <c r="G429" t="s">
        <v>85</v>
      </c>
      <c r="H429" t="s">
        <v>86</v>
      </c>
      <c r="I429" t="s">
        <v>95</v>
      </c>
      <c r="J429" t="s">
        <v>44</v>
      </c>
      <c r="K429" t="s">
        <v>140</v>
      </c>
      <c r="L429" t="s">
        <v>141</v>
      </c>
      <c r="M429" s="4">
        <v>27.34</v>
      </c>
      <c r="N429">
        <v>2</v>
      </c>
      <c r="O429" s="5">
        <v>0.15</v>
      </c>
      <c r="P429" s="4">
        <v>46.47</v>
      </c>
      <c r="Q429" s="4">
        <v>11.84</v>
      </c>
    </row>
    <row r="430" spans="1:17">
      <c r="A430" t="s">
        <v>559</v>
      </c>
      <c r="B430" s="3">
        <v>45867</v>
      </c>
      <c r="C430" s="3">
        <v>45873</v>
      </c>
      <c r="D430" t="s">
        <v>55</v>
      </c>
      <c r="E430" t="s">
        <v>56</v>
      </c>
      <c r="F430" t="s">
        <v>50</v>
      </c>
      <c r="G430" t="s">
        <v>78</v>
      </c>
      <c r="H430" t="s">
        <v>79</v>
      </c>
      <c r="I430" t="s">
        <v>80</v>
      </c>
      <c r="J430" t="s">
        <v>60</v>
      </c>
      <c r="K430" t="s">
        <v>128</v>
      </c>
      <c r="L430" t="s">
        <v>129</v>
      </c>
      <c r="M430" s="4">
        <v>257.39</v>
      </c>
      <c r="N430">
        <v>6</v>
      </c>
      <c r="O430" s="5">
        <v>0</v>
      </c>
      <c r="P430" s="4">
        <v>1544.34</v>
      </c>
      <c r="Q430" s="4">
        <v>-175.71</v>
      </c>
    </row>
    <row r="431" spans="1:17">
      <c r="A431" t="s">
        <v>560</v>
      </c>
      <c r="B431" s="3">
        <v>45708</v>
      </c>
      <c r="C431" s="3">
        <v>45709</v>
      </c>
      <c r="D431" t="s">
        <v>163</v>
      </c>
      <c r="E431" t="s">
        <v>164</v>
      </c>
      <c r="F431" t="s">
        <v>50</v>
      </c>
      <c r="G431" t="s">
        <v>85</v>
      </c>
      <c r="H431" t="s">
        <v>86</v>
      </c>
      <c r="I431" t="s">
        <v>95</v>
      </c>
      <c r="J431" t="s">
        <v>51</v>
      </c>
      <c r="K431" t="s">
        <v>68</v>
      </c>
      <c r="L431" t="s">
        <v>69</v>
      </c>
      <c r="M431" s="4">
        <v>1447.07</v>
      </c>
      <c r="N431">
        <v>7</v>
      </c>
      <c r="O431" s="5">
        <v>0.15</v>
      </c>
      <c r="P431" s="4">
        <v>8610.09</v>
      </c>
      <c r="Q431" s="4">
        <v>1773.62</v>
      </c>
    </row>
    <row r="432" spans="1:17">
      <c r="A432" t="s">
        <v>561</v>
      </c>
      <c r="B432" s="3">
        <v>45764</v>
      </c>
      <c r="C432" s="3">
        <v>45770</v>
      </c>
      <c r="D432" t="s">
        <v>221</v>
      </c>
      <c r="E432" t="s">
        <v>222</v>
      </c>
      <c r="F432" t="s">
        <v>50</v>
      </c>
      <c r="G432" t="s">
        <v>41</v>
      </c>
      <c r="H432" t="s">
        <v>42</v>
      </c>
      <c r="I432" t="s">
        <v>119</v>
      </c>
      <c r="J432" t="s">
        <v>60</v>
      </c>
      <c r="K432" t="s">
        <v>73</v>
      </c>
      <c r="L432" t="s">
        <v>74</v>
      </c>
      <c r="M432" s="4">
        <v>357.24</v>
      </c>
      <c r="N432">
        <v>8</v>
      </c>
      <c r="O432" s="5">
        <v>0.2</v>
      </c>
      <c r="P432" s="4">
        <v>2286.31</v>
      </c>
      <c r="Q432" s="4">
        <v>-173.31</v>
      </c>
    </row>
    <row r="433" spans="1:17">
      <c r="A433" t="s">
        <v>562</v>
      </c>
      <c r="B433" s="3">
        <v>45928</v>
      </c>
      <c r="C433" s="3">
        <v>45929</v>
      </c>
      <c r="D433" t="s">
        <v>93</v>
      </c>
      <c r="E433" t="s">
        <v>94</v>
      </c>
      <c r="F433" t="s">
        <v>40</v>
      </c>
      <c r="G433" t="s">
        <v>78</v>
      </c>
      <c r="H433" t="s">
        <v>79</v>
      </c>
      <c r="I433" t="s">
        <v>124</v>
      </c>
      <c r="J433" t="s">
        <v>51</v>
      </c>
      <c r="K433" t="s">
        <v>102</v>
      </c>
      <c r="L433" t="s">
        <v>103</v>
      </c>
      <c r="M433" s="4">
        <v>307.45</v>
      </c>
      <c r="N433">
        <v>2</v>
      </c>
      <c r="O433" s="5">
        <v>0.2</v>
      </c>
      <c r="P433" s="4">
        <v>491.92</v>
      </c>
      <c r="Q433" s="4">
        <v>140.76</v>
      </c>
    </row>
    <row r="434" spans="1:17">
      <c r="A434" t="s">
        <v>563</v>
      </c>
      <c r="B434" s="3">
        <v>45755</v>
      </c>
      <c r="C434" s="3">
        <v>45757</v>
      </c>
      <c r="D434" t="s">
        <v>154</v>
      </c>
      <c r="E434" t="s">
        <v>155</v>
      </c>
      <c r="F434" t="s">
        <v>40</v>
      </c>
      <c r="G434" t="s">
        <v>41</v>
      </c>
      <c r="H434" t="s">
        <v>42</v>
      </c>
      <c r="I434" t="s">
        <v>43</v>
      </c>
      <c r="J434" t="s">
        <v>51</v>
      </c>
      <c r="K434" t="s">
        <v>102</v>
      </c>
      <c r="L434" t="s">
        <v>103</v>
      </c>
      <c r="M434" s="4">
        <v>328.02</v>
      </c>
      <c r="N434">
        <v>4</v>
      </c>
      <c r="O434" s="5">
        <v>0.1</v>
      </c>
      <c r="P434" s="4">
        <v>1180.8699999999999</v>
      </c>
      <c r="Q434" s="4">
        <v>111.86</v>
      </c>
    </row>
    <row r="435" spans="1:17">
      <c r="A435" t="s">
        <v>564</v>
      </c>
      <c r="B435" s="3">
        <v>46003</v>
      </c>
      <c r="C435" s="3">
        <v>46007</v>
      </c>
      <c r="D435" t="s">
        <v>76</v>
      </c>
      <c r="E435" t="s">
        <v>77</v>
      </c>
      <c r="F435" t="s">
        <v>50</v>
      </c>
      <c r="G435" t="s">
        <v>78</v>
      </c>
      <c r="H435" t="s">
        <v>79</v>
      </c>
      <c r="I435" t="s">
        <v>80</v>
      </c>
      <c r="J435" t="s">
        <v>60</v>
      </c>
      <c r="K435" t="s">
        <v>61</v>
      </c>
      <c r="L435" t="s">
        <v>96</v>
      </c>
      <c r="M435" s="4">
        <v>84</v>
      </c>
      <c r="N435">
        <v>7</v>
      </c>
      <c r="O435" s="5">
        <v>0</v>
      </c>
      <c r="P435" s="4">
        <v>588.02</v>
      </c>
      <c r="Q435" s="4">
        <v>55.92</v>
      </c>
    </row>
    <row r="436" spans="1:17">
      <c r="A436" t="s">
        <v>565</v>
      </c>
      <c r="B436" s="3">
        <v>45838</v>
      </c>
      <c r="C436" s="3">
        <v>45841</v>
      </c>
      <c r="D436" t="s">
        <v>83</v>
      </c>
      <c r="E436" t="s">
        <v>84</v>
      </c>
      <c r="F436" t="s">
        <v>50</v>
      </c>
      <c r="G436" t="s">
        <v>57</v>
      </c>
      <c r="H436" t="s">
        <v>58</v>
      </c>
      <c r="I436" t="s">
        <v>67</v>
      </c>
      <c r="J436" t="s">
        <v>60</v>
      </c>
      <c r="K436" t="s">
        <v>61</v>
      </c>
      <c r="L436" t="s">
        <v>96</v>
      </c>
      <c r="M436" s="4">
        <v>87.69</v>
      </c>
      <c r="N436">
        <v>6</v>
      </c>
      <c r="O436" s="5">
        <v>0.2</v>
      </c>
      <c r="P436" s="4">
        <v>420.92</v>
      </c>
      <c r="Q436" s="4">
        <v>101.46</v>
      </c>
    </row>
    <row r="437" spans="1:17">
      <c r="A437" t="s">
        <v>566</v>
      </c>
      <c r="B437" s="3">
        <v>45850</v>
      </c>
      <c r="C437" s="3">
        <v>45857</v>
      </c>
      <c r="D437" t="s">
        <v>163</v>
      </c>
      <c r="E437" t="s">
        <v>164</v>
      </c>
      <c r="F437" t="s">
        <v>50</v>
      </c>
      <c r="G437" t="s">
        <v>57</v>
      </c>
      <c r="H437" t="s">
        <v>58</v>
      </c>
      <c r="I437" t="s">
        <v>67</v>
      </c>
      <c r="J437" t="s">
        <v>60</v>
      </c>
      <c r="K437" t="s">
        <v>61</v>
      </c>
      <c r="L437" t="s">
        <v>96</v>
      </c>
      <c r="M437" s="4">
        <v>98.31</v>
      </c>
      <c r="N437">
        <v>5</v>
      </c>
      <c r="O437" s="5">
        <v>0</v>
      </c>
      <c r="P437" s="4">
        <v>491.55</v>
      </c>
      <c r="Q437" s="4">
        <v>79.569999999999993</v>
      </c>
    </row>
    <row r="438" spans="1:17">
      <c r="A438" t="s">
        <v>567</v>
      </c>
      <c r="B438" s="3">
        <v>45812</v>
      </c>
      <c r="C438" s="3">
        <v>45813</v>
      </c>
      <c r="D438" t="s">
        <v>113</v>
      </c>
      <c r="E438" t="s">
        <v>114</v>
      </c>
      <c r="F438" t="s">
        <v>40</v>
      </c>
      <c r="G438" t="s">
        <v>41</v>
      </c>
      <c r="H438" t="s">
        <v>42</v>
      </c>
      <c r="I438" t="s">
        <v>119</v>
      </c>
      <c r="J438" t="s">
        <v>51</v>
      </c>
      <c r="K438" t="s">
        <v>102</v>
      </c>
      <c r="L438" t="s">
        <v>103</v>
      </c>
      <c r="M438" s="4">
        <v>301.75</v>
      </c>
      <c r="N438">
        <v>5</v>
      </c>
      <c r="O438" s="5">
        <v>0</v>
      </c>
      <c r="P438" s="4">
        <v>1508.74</v>
      </c>
      <c r="Q438" s="4">
        <v>194.21</v>
      </c>
    </row>
    <row r="439" spans="1:17">
      <c r="A439" t="s">
        <v>568</v>
      </c>
      <c r="B439" s="3">
        <v>45737</v>
      </c>
      <c r="C439" s="3">
        <v>45738</v>
      </c>
      <c r="D439" t="s">
        <v>89</v>
      </c>
      <c r="E439" t="s">
        <v>90</v>
      </c>
      <c r="F439" t="s">
        <v>40</v>
      </c>
      <c r="G439" t="s">
        <v>57</v>
      </c>
      <c r="H439" t="s">
        <v>58</v>
      </c>
      <c r="I439" t="s">
        <v>67</v>
      </c>
      <c r="J439" t="s">
        <v>60</v>
      </c>
      <c r="K439" t="s">
        <v>61</v>
      </c>
      <c r="L439" t="s">
        <v>96</v>
      </c>
      <c r="M439" s="4">
        <v>87.4</v>
      </c>
      <c r="N439">
        <v>1</v>
      </c>
      <c r="O439" s="5">
        <v>0.05</v>
      </c>
      <c r="P439" s="4">
        <v>83.03</v>
      </c>
      <c r="Q439" s="4">
        <v>7.02</v>
      </c>
    </row>
    <row r="440" spans="1:17">
      <c r="A440" t="s">
        <v>569</v>
      </c>
      <c r="B440" s="3">
        <v>45862</v>
      </c>
      <c r="C440" s="3">
        <v>45867</v>
      </c>
      <c r="D440" t="s">
        <v>89</v>
      </c>
      <c r="E440" t="s">
        <v>90</v>
      </c>
      <c r="F440" t="s">
        <v>66</v>
      </c>
      <c r="G440" t="s">
        <v>85</v>
      </c>
      <c r="H440" t="s">
        <v>86</v>
      </c>
      <c r="I440" t="s">
        <v>95</v>
      </c>
      <c r="J440" t="s">
        <v>44</v>
      </c>
      <c r="K440" t="s">
        <v>110</v>
      </c>
      <c r="L440" t="s">
        <v>111</v>
      </c>
      <c r="M440" s="4">
        <v>10.99</v>
      </c>
      <c r="N440">
        <v>4</v>
      </c>
      <c r="O440" s="5">
        <v>0.15</v>
      </c>
      <c r="P440" s="4">
        <v>37.35</v>
      </c>
      <c r="Q440" s="4">
        <v>4.9000000000000004</v>
      </c>
    </row>
    <row r="441" spans="1:17">
      <c r="A441" t="s">
        <v>570</v>
      </c>
      <c r="B441" s="3">
        <v>45986</v>
      </c>
      <c r="C441" s="3">
        <v>45989</v>
      </c>
      <c r="D441" t="s">
        <v>158</v>
      </c>
      <c r="E441" t="s">
        <v>159</v>
      </c>
      <c r="F441" t="s">
        <v>40</v>
      </c>
      <c r="G441" t="s">
        <v>78</v>
      </c>
      <c r="H441" t="s">
        <v>79</v>
      </c>
      <c r="I441" t="s">
        <v>80</v>
      </c>
      <c r="J441" t="s">
        <v>60</v>
      </c>
      <c r="K441" t="s">
        <v>73</v>
      </c>
      <c r="L441" t="s">
        <v>74</v>
      </c>
      <c r="M441" s="4">
        <v>414.05</v>
      </c>
      <c r="N441">
        <v>1</v>
      </c>
      <c r="O441" s="5">
        <v>0.15</v>
      </c>
      <c r="P441" s="4">
        <v>351.94</v>
      </c>
      <c r="Q441" s="4">
        <v>51.17</v>
      </c>
    </row>
    <row r="442" spans="1:17">
      <c r="A442" t="s">
        <v>571</v>
      </c>
      <c r="B442" s="3">
        <v>45992</v>
      </c>
      <c r="C442" s="3">
        <v>45999</v>
      </c>
      <c r="D442" t="s">
        <v>38</v>
      </c>
      <c r="E442" t="s">
        <v>39</v>
      </c>
      <c r="F442" t="s">
        <v>66</v>
      </c>
      <c r="G442" t="s">
        <v>57</v>
      </c>
      <c r="H442" t="s">
        <v>58</v>
      </c>
      <c r="I442" t="s">
        <v>91</v>
      </c>
      <c r="J442" t="s">
        <v>44</v>
      </c>
      <c r="K442" t="s">
        <v>110</v>
      </c>
      <c r="L442" t="s">
        <v>111</v>
      </c>
      <c r="M442" s="4">
        <v>12.67</v>
      </c>
      <c r="N442">
        <v>1</v>
      </c>
      <c r="O442" s="5">
        <v>0.15</v>
      </c>
      <c r="P442" s="4">
        <v>10.77</v>
      </c>
      <c r="Q442" s="4">
        <v>1.57</v>
      </c>
    </row>
    <row r="443" spans="1:17">
      <c r="A443" t="s">
        <v>572</v>
      </c>
      <c r="B443" s="3">
        <v>45915</v>
      </c>
      <c r="C443" s="3">
        <v>45921</v>
      </c>
      <c r="D443" t="s">
        <v>55</v>
      </c>
      <c r="E443" t="s">
        <v>56</v>
      </c>
      <c r="F443" t="s">
        <v>40</v>
      </c>
      <c r="G443" t="s">
        <v>41</v>
      </c>
      <c r="H443" t="s">
        <v>42</v>
      </c>
      <c r="I443" t="s">
        <v>119</v>
      </c>
      <c r="J443" t="s">
        <v>60</v>
      </c>
      <c r="K443" t="s">
        <v>116</v>
      </c>
      <c r="L443" t="s">
        <v>117</v>
      </c>
      <c r="M443" s="4">
        <v>473.25</v>
      </c>
      <c r="N443">
        <v>4</v>
      </c>
      <c r="O443" s="5">
        <v>0</v>
      </c>
      <c r="P443" s="4">
        <v>1893.02</v>
      </c>
      <c r="Q443" s="4">
        <v>440.87</v>
      </c>
    </row>
    <row r="444" spans="1:17">
      <c r="A444" t="s">
        <v>573</v>
      </c>
      <c r="B444" s="3">
        <v>45879</v>
      </c>
      <c r="C444" s="3">
        <v>45882</v>
      </c>
      <c r="D444" t="s">
        <v>38</v>
      </c>
      <c r="E444" t="s">
        <v>39</v>
      </c>
      <c r="F444" t="s">
        <v>40</v>
      </c>
      <c r="G444" t="s">
        <v>78</v>
      </c>
      <c r="H444" t="s">
        <v>79</v>
      </c>
      <c r="I444" t="s">
        <v>80</v>
      </c>
      <c r="J444" t="s">
        <v>60</v>
      </c>
      <c r="K444" t="s">
        <v>73</v>
      </c>
      <c r="L444" t="s">
        <v>74</v>
      </c>
      <c r="M444" s="4">
        <v>361.31</v>
      </c>
      <c r="N444">
        <v>7</v>
      </c>
      <c r="O444" s="5">
        <v>0</v>
      </c>
      <c r="P444" s="4">
        <v>2529.1799999999998</v>
      </c>
      <c r="Q444" s="4">
        <v>178.65</v>
      </c>
    </row>
    <row r="445" spans="1:17">
      <c r="A445" t="s">
        <v>574</v>
      </c>
      <c r="B445" s="3">
        <v>45914</v>
      </c>
      <c r="C445" s="3">
        <v>45918</v>
      </c>
      <c r="D445" t="s">
        <v>154</v>
      </c>
      <c r="E445" t="s">
        <v>155</v>
      </c>
      <c r="F445" t="s">
        <v>66</v>
      </c>
      <c r="G445" t="s">
        <v>41</v>
      </c>
      <c r="H445" t="s">
        <v>42</v>
      </c>
      <c r="I445" t="s">
        <v>101</v>
      </c>
      <c r="J445" t="s">
        <v>44</v>
      </c>
      <c r="K445" t="s">
        <v>110</v>
      </c>
      <c r="L445" t="s">
        <v>111</v>
      </c>
      <c r="M445" s="4">
        <v>11.12</v>
      </c>
      <c r="N445">
        <v>3</v>
      </c>
      <c r="O445" s="5">
        <v>0.2</v>
      </c>
      <c r="P445" s="4">
        <v>26.7</v>
      </c>
      <c r="Q445" s="4">
        <v>5.07</v>
      </c>
    </row>
    <row r="446" spans="1:17">
      <c r="A446" t="s">
        <v>575</v>
      </c>
      <c r="B446" s="3">
        <v>45782</v>
      </c>
      <c r="C446" s="3">
        <v>45783</v>
      </c>
      <c r="D446" t="s">
        <v>38</v>
      </c>
      <c r="E446" t="s">
        <v>39</v>
      </c>
      <c r="F446" t="s">
        <v>40</v>
      </c>
      <c r="G446" t="s">
        <v>85</v>
      </c>
      <c r="H446" t="s">
        <v>86</v>
      </c>
      <c r="I446" t="s">
        <v>87</v>
      </c>
      <c r="J446" t="s">
        <v>60</v>
      </c>
      <c r="K446" t="s">
        <v>61</v>
      </c>
      <c r="L446" t="s">
        <v>96</v>
      </c>
      <c r="M446" s="4">
        <v>88.74</v>
      </c>
      <c r="N446">
        <v>5</v>
      </c>
      <c r="O446" s="5">
        <v>0.2</v>
      </c>
      <c r="P446" s="4">
        <v>354.96</v>
      </c>
      <c r="Q446" s="4">
        <v>78.510000000000005</v>
      </c>
    </row>
    <row r="447" spans="1:17">
      <c r="A447" t="s">
        <v>576</v>
      </c>
      <c r="B447" s="3">
        <v>45755</v>
      </c>
      <c r="C447" s="3">
        <v>45758</v>
      </c>
      <c r="D447" t="s">
        <v>76</v>
      </c>
      <c r="E447" t="s">
        <v>77</v>
      </c>
      <c r="F447" t="s">
        <v>66</v>
      </c>
      <c r="G447" t="s">
        <v>41</v>
      </c>
      <c r="H447" t="s">
        <v>42</v>
      </c>
      <c r="I447" t="s">
        <v>101</v>
      </c>
      <c r="J447" t="s">
        <v>44</v>
      </c>
      <c r="K447" t="s">
        <v>165</v>
      </c>
      <c r="L447" t="s">
        <v>166</v>
      </c>
      <c r="M447" s="4">
        <v>15.47</v>
      </c>
      <c r="N447">
        <v>6</v>
      </c>
      <c r="O447" s="5">
        <v>0.1</v>
      </c>
      <c r="P447" s="4">
        <v>83.52</v>
      </c>
      <c r="Q447" s="4">
        <v>20.25</v>
      </c>
    </row>
    <row r="448" spans="1:17">
      <c r="A448" t="s">
        <v>577</v>
      </c>
      <c r="B448" s="3">
        <v>45680</v>
      </c>
      <c r="C448" s="3">
        <v>45687</v>
      </c>
      <c r="D448" t="s">
        <v>83</v>
      </c>
      <c r="E448" t="s">
        <v>84</v>
      </c>
      <c r="F448" t="s">
        <v>66</v>
      </c>
      <c r="G448" t="s">
        <v>57</v>
      </c>
      <c r="H448" t="s">
        <v>58</v>
      </c>
      <c r="I448" t="s">
        <v>67</v>
      </c>
      <c r="J448" t="s">
        <v>60</v>
      </c>
      <c r="K448" t="s">
        <v>116</v>
      </c>
      <c r="L448" t="s">
        <v>117</v>
      </c>
      <c r="M448" s="4">
        <v>539.28</v>
      </c>
      <c r="N448">
        <v>4</v>
      </c>
      <c r="O448" s="5">
        <v>0</v>
      </c>
      <c r="P448" s="4">
        <v>2157.11</v>
      </c>
      <c r="Q448" s="4">
        <v>191.98</v>
      </c>
    </row>
    <row r="449" spans="1:17">
      <c r="A449" t="s">
        <v>578</v>
      </c>
      <c r="B449" s="3">
        <v>45733</v>
      </c>
      <c r="C449" s="3">
        <v>45740</v>
      </c>
      <c r="D449" t="s">
        <v>158</v>
      </c>
      <c r="E449" t="s">
        <v>159</v>
      </c>
      <c r="F449" t="s">
        <v>40</v>
      </c>
      <c r="G449" t="s">
        <v>41</v>
      </c>
      <c r="H449" t="s">
        <v>42</v>
      </c>
      <c r="I449" t="s">
        <v>43</v>
      </c>
      <c r="J449" t="s">
        <v>51</v>
      </c>
      <c r="K449" t="s">
        <v>52</v>
      </c>
      <c r="L449" t="s">
        <v>53</v>
      </c>
      <c r="M449" s="4">
        <v>43.59</v>
      </c>
      <c r="N449">
        <v>5</v>
      </c>
      <c r="O449" s="5">
        <v>0</v>
      </c>
      <c r="P449" s="4">
        <v>217.95</v>
      </c>
      <c r="Q449" s="4">
        <v>54.72</v>
      </c>
    </row>
    <row r="450" spans="1:17">
      <c r="A450" t="s">
        <v>579</v>
      </c>
      <c r="B450" s="3">
        <v>45762</v>
      </c>
      <c r="C450" s="3">
        <v>45767</v>
      </c>
      <c r="D450" t="s">
        <v>163</v>
      </c>
      <c r="E450" t="s">
        <v>164</v>
      </c>
      <c r="F450" t="s">
        <v>66</v>
      </c>
      <c r="G450" t="s">
        <v>78</v>
      </c>
      <c r="H450" t="s">
        <v>79</v>
      </c>
      <c r="I450" t="s">
        <v>135</v>
      </c>
      <c r="J450" t="s">
        <v>51</v>
      </c>
      <c r="K450" t="s">
        <v>102</v>
      </c>
      <c r="L450" t="s">
        <v>103</v>
      </c>
      <c r="M450" s="4">
        <v>318.91000000000003</v>
      </c>
      <c r="N450">
        <v>5</v>
      </c>
      <c r="O450" s="5">
        <v>0.1</v>
      </c>
      <c r="P450" s="4">
        <v>1435.11</v>
      </c>
      <c r="Q450" s="4">
        <v>333.64</v>
      </c>
    </row>
    <row r="451" spans="1:17">
      <c r="A451" t="s">
        <v>580</v>
      </c>
      <c r="B451" s="3">
        <v>45788</v>
      </c>
      <c r="C451" s="3">
        <v>45790</v>
      </c>
      <c r="D451" t="s">
        <v>71</v>
      </c>
      <c r="E451" t="s">
        <v>72</v>
      </c>
      <c r="F451" t="s">
        <v>40</v>
      </c>
      <c r="G451" t="s">
        <v>41</v>
      </c>
      <c r="H451" t="s">
        <v>42</v>
      </c>
      <c r="I451" t="s">
        <v>119</v>
      </c>
      <c r="J451" t="s">
        <v>60</v>
      </c>
      <c r="K451" t="s">
        <v>61</v>
      </c>
      <c r="L451" t="s">
        <v>96</v>
      </c>
      <c r="M451" s="4">
        <v>84.61</v>
      </c>
      <c r="N451">
        <v>1</v>
      </c>
      <c r="O451" s="5">
        <v>0</v>
      </c>
      <c r="P451" s="4">
        <v>84.61</v>
      </c>
      <c r="Q451" s="4">
        <v>18.96</v>
      </c>
    </row>
    <row r="452" spans="1:17">
      <c r="A452" t="s">
        <v>581</v>
      </c>
      <c r="B452" s="3">
        <v>45997</v>
      </c>
      <c r="C452" s="3">
        <v>46004</v>
      </c>
      <c r="D452" t="s">
        <v>93</v>
      </c>
      <c r="E452" t="s">
        <v>94</v>
      </c>
      <c r="F452" t="s">
        <v>50</v>
      </c>
      <c r="G452" t="s">
        <v>78</v>
      </c>
      <c r="H452" t="s">
        <v>79</v>
      </c>
      <c r="I452" t="s">
        <v>80</v>
      </c>
      <c r="J452" t="s">
        <v>51</v>
      </c>
      <c r="K452" t="s">
        <v>68</v>
      </c>
      <c r="L452" t="s">
        <v>69</v>
      </c>
      <c r="M452" s="4">
        <v>1336.29</v>
      </c>
      <c r="N452">
        <v>6</v>
      </c>
      <c r="O452" s="5">
        <v>0.2</v>
      </c>
      <c r="P452" s="4">
        <v>6414.18</v>
      </c>
      <c r="Q452" s="4">
        <v>789.74</v>
      </c>
    </row>
    <row r="453" spans="1:17">
      <c r="A453" t="s">
        <v>582</v>
      </c>
      <c r="B453" s="3">
        <v>45906</v>
      </c>
      <c r="C453" s="3">
        <v>45913</v>
      </c>
      <c r="D453" t="s">
        <v>55</v>
      </c>
      <c r="E453" t="s">
        <v>56</v>
      </c>
      <c r="F453" t="s">
        <v>66</v>
      </c>
      <c r="G453" t="s">
        <v>78</v>
      </c>
      <c r="H453" t="s">
        <v>79</v>
      </c>
      <c r="I453" t="s">
        <v>135</v>
      </c>
      <c r="J453" t="s">
        <v>60</v>
      </c>
      <c r="K453" t="s">
        <v>73</v>
      </c>
      <c r="L453" t="s">
        <v>74</v>
      </c>
      <c r="M453" s="4">
        <v>366.51</v>
      </c>
      <c r="N453">
        <v>2</v>
      </c>
      <c r="O453" s="5">
        <v>0</v>
      </c>
      <c r="P453" s="4">
        <v>733.02</v>
      </c>
      <c r="Q453" s="4">
        <v>213.82</v>
      </c>
    </row>
    <row r="454" spans="1:17">
      <c r="A454" t="s">
        <v>583</v>
      </c>
      <c r="B454" s="3">
        <v>45908</v>
      </c>
      <c r="C454" s="3">
        <v>45912</v>
      </c>
      <c r="D454" t="s">
        <v>55</v>
      </c>
      <c r="E454" t="s">
        <v>56</v>
      </c>
      <c r="F454" t="s">
        <v>50</v>
      </c>
      <c r="G454" t="s">
        <v>41</v>
      </c>
      <c r="H454" t="s">
        <v>42</v>
      </c>
      <c r="I454" t="s">
        <v>43</v>
      </c>
      <c r="J454" t="s">
        <v>60</v>
      </c>
      <c r="K454" t="s">
        <v>128</v>
      </c>
      <c r="L454" t="s">
        <v>129</v>
      </c>
      <c r="M454" s="4">
        <v>271.42</v>
      </c>
      <c r="N454">
        <v>3</v>
      </c>
      <c r="O454" s="5">
        <v>0</v>
      </c>
      <c r="P454" s="4">
        <v>814.26</v>
      </c>
      <c r="Q454" s="4">
        <v>112.35</v>
      </c>
    </row>
    <row r="455" spans="1:17">
      <c r="A455" t="s">
        <v>584</v>
      </c>
      <c r="B455" s="3">
        <v>45673</v>
      </c>
      <c r="C455" s="3">
        <v>45678</v>
      </c>
      <c r="D455" t="s">
        <v>154</v>
      </c>
      <c r="E455" t="s">
        <v>155</v>
      </c>
      <c r="F455" t="s">
        <v>66</v>
      </c>
      <c r="G455" t="s">
        <v>85</v>
      </c>
      <c r="H455" t="s">
        <v>86</v>
      </c>
      <c r="I455" t="s">
        <v>87</v>
      </c>
      <c r="J455" t="s">
        <v>51</v>
      </c>
      <c r="K455" t="s">
        <v>52</v>
      </c>
      <c r="L455" t="s">
        <v>81</v>
      </c>
      <c r="M455" s="4">
        <v>65.12</v>
      </c>
      <c r="N455">
        <v>5</v>
      </c>
      <c r="O455" s="5">
        <v>0</v>
      </c>
      <c r="P455" s="4">
        <v>325.62</v>
      </c>
      <c r="Q455" s="4">
        <v>89.32</v>
      </c>
    </row>
    <row r="456" spans="1:17">
      <c r="A456" t="s">
        <v>585</v>
      </c>
      <c r="B456" s="3">
        <v>45871</v>
      </c>
      <c r="C456" s="3">
        <v>45873</v>
      </c>
      <c r="D456" t="s">
        <v>38</v>
      </c>
      <c r="E456" t="s">
        <v>39</v>
      </c>
      <c r="F456" t="s">
        <v>66</v>
      </c>
      <c r="G456" t="s">
        <v>41</v>
      </c>
      <c r="H456" t="s">
        <v>42</v>
      </c>
      <c r="I456" t="s">
        <v>101</v>
      </c>
      <c r="J456" t="s">
        <v>60</v>
      </c>
      <c r="K456" t="s">
        <v>61</v>
      </c>
      <c r="L456" t="s">
        <v>96</v>
      </c>
      <c r="M456" s="4">
        <v>98.47</v>
      </c>
      <c r="N456">
        <v>3</v>
      </c>
      <c r="O456" s="5">
        <v>0.05</v>
      </c>
      <c r="P456" s="4">
        <v>280.64</v>
      </c>
      <c r="Q456" s="4">
        <v>77.86</v>
      </c>
    </row>
    <row r="457" spans="1:17">
      <c r="A457" t="s">
        <v>586</v>
      </c>
      <c r="B457" s="3">
        <v>46008</v>
      </c>
      <c r="C457" s="3">
        <v>46015</v>
      </c>
      <c r="D457" t="s">
        <v>64</v>
      </c>
      <c r="E457" t="s">
        <v>65</v>
      </c>
      <c r="F457" t="s">
        <v>40</v>
      </c>
      <c r="G457" t="s">
        <v>85</v>
      </c>
      <c r="H457" t="s">
        <v>86</v>
      </c>
      <c r="I457" t="s">
        <v>95</v>
      </c>
      <c r="J457" t="s">
        <v>51</v>
      </c>
      <c r="K457" t="s">
        <v>102</v>
      </c>
      <c r="L457" t="s">
        <v>103</v>
      </c>
      <c r="M457" s="4">
        <v>296.83999999999997</v>
      </c>
      <c r="N457">
        <v>4</v>
      </c>
      <c r="O457" s="5">
        <v>0.2</v>
      </c>
      <c r="P457" s="4">
        <v>949.88</v>
      </c>
      <c r="Q457" s="4">
        <v>211</v>
      </c>
    </row>
    <row r="458" spans="1:17">
      <c r="A458" t="s">
        <v>587</v>
      </c>
      <c r="B458" s="3">
        <v>45820</v>
      </c>
      <c r="C458" s="3">
        <v>45821</v>
      </c>
      <c r="D458" t="s">
        <v>132</v>
      </c>
      <c r="E458" t="s">
        <v>133</v>
      </c>
      <c r="F458" t="s">
        <v>50</v>
      </c>
      <c r="G458" t="s">
        <v>85</v>
      </c>
      <c r="H458" t="s">
        <v>86</v>
      </c>
      <c r="I458" t="s">
        <v>160</v>
      </c>
      <c r="J458" t="s">
        <v>60</v>
      </c>
      <c r="K458" t="s">
        <v>61</v>
      </c>
      <c r="L458" t="s">
        <v>96</v>
      </c>
      <c r="M458" s="4">
        <v>86.72</v>
      </c>
      <c r="N458">
        <v>2</v>
      </c>
      <c r="O458" s="5">
        <v>0</v>
      </c>
      <c r="P458" s="4">
        <v>173.43</v>
      </c>
      <c r="Q458" s="4">
        <v>46.81</v>
      </c>
    </row>
    <row r="459" spans="1:17">
      <c r="A459" t="s">
        <v>588</v>
      </c>
      <c r="B459" s="3">
        <v>45735</v>
      </c>
      <c r="C459" s="3">
        <v>45742</v>
      </c>
      <c r="D459" t="s">
        <v>93</v>
      </c>
      <c r="E459" t="s">
        <v>94</v>
      </c>
      <c r="F459" t="s">
        <v>66</v>
      </c>
      <c r="G459" t="s">
        <v>57</v>
      </c>
      <c r="H459" t="s">
        <v>58</v>
      </c>
      <c r="I459" t="s">
        <v>91</v>
      </c>
      <c r="J459" t="s">
        <v>44</v>
      </c>
      <c r="K459" t="s">
        <v>143</v>
      </c>
      <c r="L459" t="s">
        <v>144</v>
      </c>
      <c r="M459" s="4">
        <v>16.670000000000002</v>
      </c>
      <c r="N459">
        <v>4</v>
      </c>
      <c r="O459" s="5">
        <v>0</v>
      </c>
      <c r="P459" s="4">
        <v>66.69</v>
      </c>
      <c r="Q459" s="4">
        <v>3.77</v>
      </c>
    </row>
    <row r="460" spans="1:17">
      <c r="A460" t="s">
        <v>589</v>
      </c>
      <c r="B460" s="3">
        <v>45776</v>
      </c>
      <c r="C460" s="3">
        <v>45778</v>
      </c>
      <c r="D460" t="s">
        <v>158</v>
      </c>
      <c r="E460" t="s">
        <v>159</v>
      </c>
      <c r="F460" t="s">
        <v>40</v>
      </c>
      <c r="G460" t="s">
        <v>57</v>
      </c>
      <c r="H460" t="s">
        <v>58</v>
      </c>
      <c r="I460" t="s">
        <v>67</v>
      </c>
      <c r="J460" t="s">
        <v>60</v>
      </c>
      <c r="K460" t="s">
        <v>116</v>
      </c>
      <c r="L460" t="s">
        <v>117</v>
      </c>
      <c r="M460" s="4">
        <v>476.27</v>
      </c>
      <c r="N460">
        <v>1</v>
      </c>
      <c r="O460" s="5">
        <v>0</v>
      </c>
      <c r="P460" s="4">
        <v>476.27</v>
      </c>
      <c r="Q460" s="4">
        <v>116.67</v>
      </c>
    </row>
    <row r="461" spans="1:17">
      <c r="A461" t="s">
        <v>590</v>
      </c>
      <c r="B461" s="3">
        <v>45909</v>
      </c>
      <c r="C461" s="3">
        <v>45913</v>
      </c>
      <c r="D461" t="s">
        <v>154</v>
      </c>
      <c r="E461" t="s">
        <v>155</v>
      </c>
      <c r="F461" t="s">
        <v>40</v>
      </c>
      <c r="G461" t="s">
        <v>78</v>
      </c>
      <c r="H461" t="s">
        <v>79</v>
      </c>
      <c r="I461" t="s">
        <v>80</v>
      </c>
      <c r="J461" t="s">
        <v>44</v>
      </c>
      <c r="K461" t="s">
        <v>45</v>
      </c>
      <c r="L461" t="s">
        <v>46</v>
      </c>
      <c r="M461" s="4">
        <v>7.51</v>
      </c>
      <c r="N461">
        <v>3</v>
      </c>
      <c r="O461" s="5">
        <v>0</v>
      </c>
      <c r="P461" s="4">
        <v>22.53</v>
      </c>
      <c r="Q461" s="4">
        <v>1.31</v>
      </c>
    </row>
    <row r="462" spans="1:17">
      <c r="A462" t="s">
        <v>591</v>
      </c>
      <c r="B462" s="3">
        <v>45691</v>
      </c>
      <c r="C462" s="3">
        <v>45693</v>
      </c>
      <c r="D462" t="s">
        <v>163</v>
      </c>
      <c r="E462" t="s">
        <v>164</v>
      </c>
      <c r="F462" t="s">
        <v>66</v>
      </c>
      <c r="G462" t="s">
        <v>41</v>
      </c>
      <c r="H462" t="s">
        <v>42</v>
      </c>
      <c r="I462" t="s">
        <v>119</v>
      </c>
      <c r="J462" t="s">
        <v>51</v>
      </c>
      <c r="K462" t="s">
        <v>52</v>
      </c>
      <c r="L462" t="s">
        <v>53</v>
      </c>
      <c r="M462" s="4">
        <v>46.05</v>
      </c>
      <c r="N462">
        <v>8</v>
      </c>
      <c r="O462" s="5">
        <v>0.2</v>
      </c>
      <c r="P462" s="4">
        <v>294.74</v>
      </c>
      <c r="Q462" s="4">
        <v>65.42</v>
      </c>
    </row>
    <row r="463" spans="1:17">
      <c r="A463" t="s">
        <v>592</v>
      </c>
      <c r="B463" s="3">
        <v>45818</v>
      </c>
      <c r="C463" s="3">
        <v>45822</v>
      </c>
      <c r="D463" t="s">
        <v>154</v>
      </c>
      <c r="E463" t="s">
        <v>155</v>
      </c>
      <c r="F463" t="s">
        <v>66</v>
      </c>
      <c r="G463" t="s">
        <v>85</v>
      </c>
      <c r="H463" t="s">
        <v>86</v>
      </c>
      <c r="I463" t="s">
        <v>160</v>
      </c>
      <c r="J463" t="s">
        <v>51</v>
      </c>
      <c r="K463" t="s">
        <v>102</v>
      </c>
      <c r="L463" t="s">
        <v>103</v>
      </c>
      <c r="M463" s="4">
        <v>295</v>
      </c>
      <c r="N463">
        <v>1</v>
      </c>
      <c r="O463" s="5">
        <v>0.1</v>
      </c>
      <c r="P463" s="4">
        <v>265.5</v>
      </c>
      <c r="Q463" s="4">
        <v>43.6</v>
      </c>
    </row>
    <row r="464" spans="1:17">
      <c r="A464" t="s">
        <v>593</v>
      </c>
      <c r="B464" s="3">
        <v>45856</v>
      </c>
      <c r="C464" s="3">
        <v>45861</v>
      </c>
      <c r="D464" t="s">
        <v>64</v>
      </c>
      <c r="E464" t="s">
        <v>65</v>
      </c>
      <c r="F464" t="s">
        <v>40</v>
      </c>
      <c r="G464" t="s">
        <v>85</v>
      </c>
      <c r="H464" t="s">
        <v>86</v>
      </c>
      <c r="I464" t="s">
        <v>87</v>
      </c>
      <c r="J464" t="s">
        <v>44</v>
      </c>
      <c r="K464" t="s">
        <v>110</v>
      </c>
      <c r="L464" t="s">
        <v>111</v>
      </c>
      <c r="M464" s="4">
        <v>11.5</v>
      </c>
      <c r="N464">
        <v>1</v>
      </c>
      <c r="O464" s="5">
        <v>0</v>
      </c>
      <c r="P464" s="4">
        <v>11.5</v>
      </c>
      <c r="Q464" s="4">
        <v>1.72</v>
      </c>
    </row>
    <row r="465" spans="1:17">
      <c r="A465" t="s">
        <v>594</v>
      </c>
      <c r="B465" s="3">
        <v>45685</v>
      </c>
      <c r="C465" s="3">
        <v>45691</v>
      </c>
      <c r="D465" t="s">
        <v>158</v>
      </c>
      <c r="E465" t="s">
        <v>159</v>
      </c>
      <c r="F465" t="s">
        <v>50</v>
      </c>
      <c r="G465" t="s">
        <v>57</v>
      </c>
      <c r="H465" t="s">
        <v>58</v>
      </c>
      <c r="I465" t="s">
        <v>91</v>
      </c>
      <c r="J465" t="s">
        <v>44</v>
      </c>
      <c r="K465" t="s">
        <v>165</v>
      </c>
      <c r="L465" t="s">
        <v>166</v>
      </c>
      <c r="M465" s="4">
        <v>15.99</v>
      </c>
      <c r="N465">
        <v>3</v>
      </c>
      <c r="O465" s="5">
        <v>0.05</v>
      </c>
      <c r="P465" s="4">
        <v>45.57</v>
      </c>
      <c r="Q465" s="4">
        <v>7.42</v>
      </c>
    </row>
    <row r="466" spans="1:17">
      <c r="A466" t="s">
        <v>595</v>
      </c>
      <c r="B466" s="3">
        <v>45859</v>
      </c>
      <c r="C466" s="3">
        <v>45863</v>
      </c>
      <c r="D466" t="s">
        <v>113</v>
      </c>
      <c r="E466" t="s">
        <v>114</v>
      </c>
      <c r="F466" t="s">
        <v>40</v>
      </c>
      <c r="G466" t="s">
        <v>41</v>
      </c>
      <c r="H466" t="s">
        <v>42</v>
      </c>
      <c r="I466" t="s">
        <v>43</v>
      </c>
      <c r="J466" t="s">
        <v>60</v>
      </c>
      <c r="K466" t="s">
        <v>61</v>
      </c>
      <c r="L466" t="s">
        <v>96</v>
      </c>
      <c r="M466" s="4">
        <v>81.45</v>
      </c>
      <c r="N466">
        <v>6</v>
      </c>
      <c r="O466" s="5">
        <v>0.05</v>
      </c>
      <c r="P466" s="4">
        <v>464.26</v>
      </c>
      <c r="Q466" s="4">
        <v>75.87</v>
      </c>
    </row>
    <row r="467" spans="1:17">
      <c r="A467" t="s">
        <v>596</v>
      </c>
      <c r="B467" s="3">
        <v>45721</v>
      </c>
      <c r="C467" s="3">
        <v>45722</v>
      </c>
      <c r="D467" t="s">
        <v>132</v>
      </c>
      <c r="E467" t="s">
        <v>133</v>
      </c>
      <c r="F467" t="s">
        <v>50</v>
      </c>
      <c r="G467" t="s">
        <v>85</v>
      </c>
      <c r="H467" t="s">
        <v>86</v>
      </c>
      <c r="I467" t="s">
        <v>160</v>
      </c>
      <c r="J467" t="s">
        <v>44</v>
      </c>
      <c r="K467" t="s">
        <v>165</v>
      </c>
      <c r="L467" t="s">
        <v>166</v>
      </c>
      <c r="M467" s="4">
        <v>14.85</v>
      </c>
      <c r="N467">
        <v>2</v>
      </c>
      <c r="O467" s="5">
        <v>0.15</v>
      </c>
      <c r="P467" s="4">
        <v>25.24</v>
      </c>
      <c r="Q467" s="4">
        <v>3.55</v>
      </c>
    </row>
    <row r="468" spans="1:17">
      <c r="A468" t="s">
        <v>597</v>
      </c>
      <c r="B468" s="3">
        <v>45939</v>
      </c>
      <c r="C468" s="3">
        <v>45943</v>
      </c>
      <c r="D468" t="s">
        <v>154</v>
      </c>
      <c r="E468" t="s">
        <v>155</v>
      </c>
      <c r="F468" t="s">
        <v>40</v>
      </c>
      <c r="G468" t="s">
        <v>78</v>
      </c>
      <c r="H468" t="s">
        <v>79</v>
      </c>
      <c r="I468" t="s">
        <v>80</v>
      </c>
      <c r="J468" t="s">
        <v>60</v>
      </c>
      <c r="K468" t="s">
        <v>116</v>
      </c>
      <c r="L468" t="s">
        <v>117</v>
      </c>
      <c r="M468" s="4">
        <v>485.77</v>
      </c>
      <c r="N468">
        <v>1</v>
      </c>
      <c r="O468" s="5">
        <v>0.2</v>
      </c>
      <c r="P468" s="4">
        <v>388.62</v>
      </c>
      <c r="Q468" s="4">
        <v>52</v>
      </c>
    </row>
    <row r="469" spans="1:17">
      <c r="A469" t="s">
        <v>598</v>
      </c>
      <c r="B469" s="3">
        <v>45815</v>
      </c>
      <c r="C469" s="3">
        <v>45818</v>
      </c>
      <c r="D469" t="s">
        <v>98</v>
      </c>
      <c r="E469" t="s">
        <v>99</v>
      </c>
      <c r="F469" t="s">
        <v>50</v>
      </c>
      <c r="G469" t="s">
        <v>85</v>
      </c>
      <c r="H469" t="s">
        <v>86</v>
      </c>
      <c r="I469" t="s">
        <v>95</v>
      </c>
      <c r="J469" t="s">
        <v>51</v>
      </c>
      <c r="K469" t="s">
        <v>125</v>
      </c>
      <c r="L469" t="s">
        <v>126</v>
      </c>
      <c r="M469" s="4">
        <v>871.5</v>
      </c>
      <c r="N469">
        <v>8</v>
      </c>
      <c r="O469" s="5">
        <v>0</v>
      </c>
      <c r="P469" s="4">
        <v>6971.98</v>
      </c>
      <c r="Q469" s="4">
        <v>553.49</v>
      </c>
    </row>
    <row r="470" spans="1:17">
      <c r="A470" t="s">
        <v>599</v>
      </c>
      <c r="B470" s="3">
        <v>45912</v>
      </c>
      <c r="C470" s="3">
        <v>45919</v>
      </c>
      <c r="D470" t="s">
        <v>83</v>
      </c>
      <c r="E470" t="s">
        <v>84</v>
      </c>
      <c r="F470" t="s">
        <v>40</v>
      </c>
      <c r="G470" t="s">
        <v>85</v>
      </c>
      <c r="H470" t="s">
        <v>86</v>
      </c>
      <c r="I470" t="s">
        <v>95</v>
      </c>
      <c r="J470" t="s">
        <v>44</v>
      </c>
      <c r="K470" t="s">
        <v>110</v>
      </c>
      <c r="L470" t="s">
        <v>111</v>
      </c>
      <c r="M470" s="4">
        <v>12.74</v>
      </c>
      <c r="N470">
        <v>8</v>
      </c>
      <c r="O470" s="5">
        <v>0.1</v>
      </c>
      <c r="P470" s="4">
        <v>91.71</v>
      </c>
      <c r="Q470" s="4">
        <v>18.53</v>
      </c>
    </row>
    <row r="471" spans="1:17">
      <c r="A471" t="s">
        <v>600</v>
      </c>
      <c r="B471" s="3">
        <v>45884</v>
      </c>
      <c r="C471" s="3">
        <v>45885</v>
      </c>
      <c r="D471" t="s">
        <v>98</v>
      </c>
      <c r="E471" t="s">
        <v>99</v>
      </c>
      <c r="F471" t="s">
        <v>40</v>
      </c>
      <c r="G471" t="s">
        <v>85</v>
      </c>
      <c r="H471" t="s">
        <v>86</v>
      </c>
      <c r="I471" t="s">
        <v>87</v>
      </c>
      <c r="J471" t="s">
        <v>44</v>
      </c>
      <c r="K471" t="s">
        <v>143</v>
      </c>
      <c r="L471" t="s">
        <v>144</v>
      </c>
      <c r="M471" s="4">
        <v>19.38</v>
      </c>
      <c r="N471">
        <v>1</v>
      </c>
      <c r="O471" s="5">
        <v>0</v>
      </c>
      <c r="P471" s="4">
        <v>19.38</v>
      </c>
      <c r="Q471" s="4">
        <v>2.3199999999999998</v>
      </c>
    </row>
    <row r="472" spans="1:17">
      <c r="A472" t="s">
        <v>601</v>
      </c>
      <c r="B472" s="3">
        <v>45676</v>
      </c>
      <c r="C472" s="3">
        <v>45678</v>
      </c>
      <c r="D472" t="s">
        <v>76</v>
      </c>
      <c r="E472" t="s">
        <v>77</v>
      </c>
      <c r="F472" t="s">
        <v>50</v>
      </c>
      <c r="G472" t="s">
        <v>85</v>
      </c>
      <c r="H472" t="s">
        <v>86</v>
      </c>
      <c r="I472" t="s">
        <v>95</v>
      </c>
      <c r="J472" t="s">
        <v>51</v>
      </c>
      <c r="K472" t="s">
        <v>125</v>
      </c>
      <c r="L472" t="s">
        <v>126</v>
      </c>
      <c r="M472" s="4">
        <v>863.28</v>
      </c>
      <c r="N472">
        <v>1</v>
      </c>
      <c r="O472" s="5">
        <v>0.15</v>
      </c>
      <c r="P472" s="4">
        <v>733.78</v>
      </c>
      <c r="Q472" s="4">
        <v>147.36000000000001</v>
      </c>
    </row>
    <row r="473" spans="1:17">
      <c r="A473" t="s">
        <v>602</v>
      </c>
      <c r="B473" s="3">
        <v>46002</v>
      </c>
      <c r="C473" s="3">
        <v>46005</v>
      </c>
      <c r="D473" t="s">
        <v>132</v>
      </c>
      <c r="E473" t="s">
        <v>133</v>
      </c>
      <c r="F473" t="s">
        <v>50</v>
      </c>
      <c r="G473" t="s">
        <v>41</v>
      </c>
      <c r="H473" t="s">
        <v>42</v>
      </c>
      <c r="I473" t="s">
        <v>43</v>
      </c>
      <c r="J473" t="s">
        <v>44</v>
      </c>
      <c r="K473" t="s">
        <v>45</v>
      </c>
      <c r="L473" t="s">
        <v>46</v>
      </c>
      <c r="M473" s="4">
        <v>8.4</v>
      </c>
      <c r="N473">
        <v>3</v>
      </c>
      <c r="O473" s="5">
        <v>0.05</v>
      </c>
      <c r="P473" s="4">
        <v>23.94</v>
      </c>
      <c r="Q473" s="4">
        <v>-2.3199999999999998</v>
      </c>
    </row>
    <row r="474" spans="1:17">
      <c r="A474" t="s">
        <v>603</v>
      </c>
      <c r="B474" s="3">
        <v>45691</v>
      </c>
      <c r="C474" s="3">
        <v>45694</v>
      </c>
      <c r="D474" t="s">
        <v>64</v>
      </c>
      <c r="E474" t="s">
        <v>65</v>
      </c>
      <c r="F474" t="s">
        <v>66</v>
      </c>
      <c r="G474" t="s">
        <v>57</v>
      </c>
      <c r="H474" t="s">
        <v>58</v>
      </c>
      <c r="I474" t="s">
        <v>91</v>
      </c>
      <c r="J474" t="s">
        <v>51</v>
      </c>
      <c r="K474" t="s">
        <v>68</v>
      </c>
      <c r="L474" t="s">
        <v>69</v>
      </c>
      <c r="M474" s="4">
        <v>1340.39</v>
      </c>
      <c r="N474">
        <v>8</v>
      </c>
      <c r="O474" s="5">
        <v>0</v>
      </c>
      <c r="P474" s="4">
        <v>10723.09</v>
      </c>
      <c r="Q474" s="4">
        <v>2840.03</v>
      </c>
    </row>
    <row r="475" spans="1:17">
      <c r="A475" t="s">
        <v>604</v>
      </c>
      <c r="B475" s="3">
        <v>45687</v>
      </c>
      <c r="C475" s="3">
        <v>45688</v>
      </c>
      <c r="D475" t="s">
        <v>158</v>
      </c>
      <c r="E475" t="s">
        <v>159</v>
      </c>
      <c r="F475" t="s">
        <v>50</v>
      </c>
      <c r="G475" t="s">
        <v>78</v>
      </c>
      <c r="H475" t="s">
        <v>79</v>
      </c>
      <c r="I475" t="s">
        <v>80</v>
      </c>
      <c r="J475" t="s">
        <v>60</v>
      </c>
      <c r="K475" t="s">
        <v>116</v>
      </c>
      <c r="L475" t="s">
        <v>117</v>
      </c>
      <c r="M475" s="4">
        <v>543.29999999999995</v>
      </c>
      <c r="N475">
        <v>2</v>
      </c>
      <c r="O475" s="5">
        <v>0.05</v>
      </c>
      <c r="P475" s="4">
        <v>1032.28</v>
      </c>
      <c r="Q475" s="4">
        <v>207.69</v>
      </c>
    </row>
    <row r="476" spans="1:17">
      <c r="A476" t="s">
        <v>605</v>
      </c>
      <c r="B476" s="3">
        <v>45952</v>
      </c>
      <c r="C476" s="3">
        <v>45957</v>
      </c>
      <c r="D476" t="s">
        <v>48</v>
      </c>
      <c r="E476" t="s">
        <v>49</v>
      </c>
      <c r="F476" t="s">
        <v>40</v>
      </c>
      <c r="G476" t="s">
        <v>57</v>
      </c>
      <c r="H476" t="s">
        <v>58</v>
      </c>
      <c r="I476" t="s">
        <v>91</v>
      </c>
      <c r="J476" t="s">
        <v>44</v>
      </c>
      <c r="K476" t="s">
        <v>165</v>
      </c>
      <c r="L476" t="s">
        <v>166</v>
      </c>
      <c r="M476" s="4">
        <v>15.34</v>
      </c>
      <c r="N476">
        <v>6</v>
      </c>
      <c r="O476" s="5">
        <v>0</v>
      </c>
      <c r="P476" s="4">
        <v>92.06</v>
      </c>
      <c r="Q476" s="4">
        <v>16.03</v>
      </c>
    </row>
    <row r="477" spans="1:17">
      <c r="A477" t="s">
        <v>606</v>
      </c>
      <c r="B477" s="3">
        <v>45757</v>
      </c>
      <c r="C477" s="3">
        <v>45758</v>
      </c>
      <c r="D477" t="s">
        <v>105</v>
      </c>
      <c r="E477" t="s">
        <v>106</v>
      </c>
      <c r="F477" t="s">
        <v>50</v>
      </c>
      <c r="G477" t="s">
        <v>78</v>
      </c>
      <c r="H477" t="s">
        <v>79</v>
      </c>
      <c r="I477" t="s">
        <v>124</v>
      </c>
      <c r="J477" t="s">
        <v>60</v>
      </c>
      <c r="K477" t="s">
        <v>116</v>
      </c>
      <c r="L477" t="s">
        <v>117</v>
      </c>
      <c r="M477" s="4">
        <v>516.35</v>
      </c>
      <c r="N477">
        <v>2</v>
      </c>
      <c r="O477" s="5">
        <v>0</v>
      </c>
      <c r="P477" s="4">
        <v>1032.7</v>
      </c>
      <c r="Q477" s="4">
        <v>257.33</v>
      </c>
    </row>
    <row r="478" spans="1:17">
      <c r="A478" t="s">
        <v>607</v>
      </c>
      <c r="B478" s="3">
        <v>45837</v>
      </c>
      <c r="C478" s="3">
        <v>45842</v>
      </c>
      <c r="D478" t="s">
        <v>55</v>
      </c>
      <c r="E478" t="s">
        <v>56</v>
      </c>
      <c r="F478" t="s">
        <v>66</v>
      </c>
      <c r="G478" t="s">
        <v>85</v>
      </c>
      <c r="H478" t="s">
        <v>86</v>
      </c>
      <c r="I478" t="s">
        <v>87</v>
      </c>
      <c r="J478" t="s">
        <v>44</v>
      </c>
      <c r="K478" t="s">
        <v>110</v>
      </c>
      <c r="L478" t="s">
        <v>111</v>
      </c>
      <c r="M478" s="4">
        <v>12.34</v>
      </c>
      <c r="N478">
        <v>4</v>
      </c>
      <c r="O478" s="5">
        <v>0</v>
      </c>
      <c r="P478" s="4">
        <v>49.35</v>
      </c>
      <c r="Q478" s="4">
        <v>10.98</v>
      </c>
    </row>
    <row r="479" spans="1:17">
      <c r="A479" t="s">
        <v>608</v>
      </c>
      <c r="B479" s="3">
        <v>45661</v>
      </c>
      <c r="C479" s="3">
        <v>45662</v>
      </c>
      <c r="D479" t="s">
        <v>55</v>
      </c>
      <c r="E479" t="s">
        <v>56</v>
      </c>
      <c r="F479" t="s">
        <v>66</v>
      </c>
      <c r="G479" t="s">
        <v>41</v>
      </c>
      <c r="H479" t="s">
        <v>42</v>
      </c>
      <c r="I479" t="s">
        <v>119</v>
      </c>
      <c r="J479" t="s">
        <v>60</v>
      </c>
      <c r="K479" t="s">
        <v>61</v>
      </c>
      <c r="L479" t="s">
        <v>96</v>
      </c>
      <c r="M479" s="4">
        <v>88.13</v>
      </c>
      <c r="N479">
        <v>6</v>
      </c>
      <c r="O479" s="5">
        <v>0</v>
      </c>
      <c r="P479" s="4">
        <v>528.77</v>
      </c>
      <c r="Q479" s="4">
        <v>101.65</v>
      </c>
    </row>
    <row r="480" spans="1:17">
      <c r="A480" t="s">
        <v>609</v>
      </c>
      <c r="B480" s="3">
        <v>45676</v>
      </c>
      <c r="C480" s="3">
        <v>45682</v>
      </c>
      <c r="D480" t="s">
        <v>121</v>
      </c>
      <c r="E480" t="s">
        <v>122</v>
      </c>
      <c r="F480" t="s">
        <v>66</v>
      </c>
      <c r="G480" t="s">
        <v>85</v>
      </c>
      <c r="H480" t="s">
        <v>86</v>
      </c>
      <c r="I480" t="s">
        <v>95</v>
      </c>
      <c r="J480" t="s">
        <v>44</v>
      </c>
      <c r="K480" t="s">
        <v>143</v>
      </c>
      <c r="L480" t="s">
        <v>144</v>
      </c>
      <c r="M480" s="4">
        <v>16.760000000000002</v>
      </c>
      <c r="N480">
        <v>3</v>
      </c>
      <c r="O480" s="5">
        <v>0.05</v>
      </c>
      <c r="P480" s="4">
        <v>47.76</v>
      </c>
      <c r="Q480" s="4">
        <v>7.89</v>
      </c>
    </row>
    <row r="481" spans="1:17">
      <c r="A481" t="s">
        <v>610</v>
      </c>
      <c r="B481" s="3">
        <v>45811</v>
      </c>
      <c r="C481" s="3">
        <v>45816</v>
      </c>
      <c r="D481" t="s">
        <v>48</v>
      </c>
      <c r="E481" t="s">
        <v>49</v>
      </c>
      <c r="F481" t="s">
        <v>66</v>
      </c>
      <c r="G481" t="s">
        <v>57</v>
      </c>
      <c r="H481" t="s">
        <v>58</v>
      </c>
      <c r="I481" t="s">
        <v>91</v>
      </c>
      <c r="J481" t="s">
        <v>60</v>
      </c>
      <c r="K481" t="s">
        <v>73</v>
      </c>
      <c r="L481" t="s">
        <v>74</v>
      </c>
      <c r="M481" s="4">
        <v>392.8</v>
      </c>
      <c r="N481">
        <v>6</v>
      </c>
      <c r="O481" s="5">
        <v>0.1</v>
      </c>
      <c r="P481" s="4">
        <v>2121.11</v>
      </c>
      <c r="Q481" s="4">
        <v>216.49</v>
      </c>
    </row>
    <row r="482" spans="1:17">
      <c r="A482" t="s">
        <v>611</v>
      </c>
      <c r="B482" s="3">
        <v>45850</v>
      </c>
      <c r="C482" s="3">
        <v>45856</v>
      </c>
      <c r="D482" t="s">
        <v>55</v>
      </c>
      <c r="E482" t="s">
        <v>56</v>
      </c>
      <c r="F482" t="s">
        <v>50</v>
      </c>
      <c r="G482" t="s">
        <v>57</v>
      </c>
      <c r="H482" t="s">
        <v>58</v>
      </c>
      <c r="I482" t="s">
        <v>59</v>
      </c>
      <c r="J482" t="s">
        <v>44</v>
      </c>
      <c r="K482" t="s">
        <v>110</v>
      </c>
      <c r="L482" t="s">
        <v>111</v>
      </c>
      <c r="M482" s="4">
        <v>12.25</v>
      </c>
      <c r="N482">
        <v>3</v>
      </c>
      <c r="O482" s="5">
        <v>0.1</v>
      </c>
      <c r="P482" s="4">
        <v>33.08</v>
      </c>
      <c r="Q482" s="4">
        <v>3.2</v>
      </c>
    </row>
    <row r="483" spans="1:17">
      <c r="A483" t="s">
        <v>612</v>
      </c>
      <c r="B483" s="3">
        <v>45869</v>
      </c>
      <c r="C483" s="3">
        <v>45870</v>
      </c>
      <c r="D483" t="s">
        <v>93</v>
      </c>
      <c r="E483" t="s">
        <v>94</v>
      </c>
      <c r="F483" t="s">
        <v>66</v>
      </c>
      <c r="G483" t="s">
        <v>57</v>
      </c>
      <c r="H483" t="s">
        <v>58</v>
      </c>
      <c r="I483" t="s">
        <v>67</v>
      </c>
      <c r="J483" t="s">
        <v>60</v>
      </c>
      <c r="K483" t="s">
        <v>73</v>
      </c>
      <c r="L483" t="s">
        <v>74</v>
      </c>
      <c r="M483" s="4">
        <v>379.98</v>
      </c>
      <c r="N483">
        <v>8</v>
      </c>
      <c r="O483" s="5">
        <v>0</v>
      </c>
      <c r="P483" s="4">
        <v>3039.87</v>
      </c>
      <c r="Q483" s="4">
        <v>782.35</v>
      </c>
    </row>
    <row r="484" spans="1:17">
      <c r="A484" t="s">
        <v>613</v>
      </c>
      <c r="B484" s="3">
        <v>45705</v>
      </c>
      <c r="C484" s="3">
        <v>45709</v>
      </c>
      <c r="D484" t="s">
        <v>163</v>
      </c>
      <c r="E484" t="s">
        <v>164</v>
      </c>
      <c r="F484" t="s">
        <v>50</v>
      </c>
      <c r="G484" t="s">
        <v>57</v>
      </c>
      <c r="H484" t="s">
        <v>58</v>
      </c>
      <c r="I484" t="s">
        <v>59</v>
      </c>
      <c r="J484" t="s">
        <v>44</v>
      </c>
      <c r="K484" t="s">
        <v>110</v>
      </c>
      <c r="L484" t="s">
        <v>111</v>
      </c>
      <c r="M484" s="4">
        <v>11.96</v>
      </c>
      <c r="N484">
        <v>1</v>
      </c>
      <c r="O484" s="5">
        <v>0.2</v>
      </c>
      <c r="P484" s="4">
        <v>9.57</v>
      </c>
      <c r="Q484" s="4">
        <v>1.67</v>
      </c>
    </row>
    <row r="485" spans="1:17">
      <c r="A485" t="s">
        <v>614</v>
      </c>
      <c r="B485" s="3">
        <v>45708</v>
      </c>
      <c r="C485" s="3">
        <v>45715</v>
      </c>
      <c r="D485" t="s">
        <v>113</v>
      </c>
      <c r="E485" t="s">
        <v>114</v>
      </c>
      <c r="F485" t="s">
        <v>40</v>
      </c>
      <c r="G485" t="s">
        <v>78</v>
      </c>
      <c r="H485" t="s">
        <v>79</v>
      </c>
      <c r="I485" t="s">
        <v>80</v>
      </c>
      <c r="J485" t="s">
        <v>44</v>
      </c>
      <c r="K485" t="s">
        <v>165</v>
      </c>
      <c r="L485" t="s">
        <v>166</v>
      </c>
      <c r="M485" s="4">
        <v>15.67</v>
      </c>
      <c r="N485">
        <v>3</v>
      </c>
      <c r="O485" s="5">
        <v>0</v>
      </c>
      <c r="P485" s="4">
        <v>47.02</v>
      </c>
      <c r="Q485" s="4">
        <v>7.75</v>
      </c>
    </row>
    <row r="486" spans="1:17">
      <c r="A486" t="s">
        <v>615</v>
      </c>
      <c r="B486" s="3">
        <v>45828</v>
      </c>
      <c r="C486" s="3">
        <v>45832</v>
      </c>
      <c r="D486" t="s">
        <v>137</v>
      </c>
      <c r="E486" t="s">
        <v>138</v>
      </c>
      <c r="F486" t="s">
        <v>66</v>
      </c>
      <c r="G486" t="s">
        <v>41</v>
      </c>
      <c r="H486" t="s">
        <v>42</v>
      </c>
      <c r="I486" t="s">
        <v>43</v>
      </c>
      <c r="J486" t="s">
        <v>51</v>
      </c>
      <c r="K486" t="s">
        <v>102</v>
      </c>
      <c r="L486" t="s">
        <v>103</v>
      </c>
      <c r="M486" s="4">
        <v>321.32</v>
      </c>
      <c r="N486">
        <v>1</v>
      </c>
      <c r="O486" s="5">
        <v>0</v>
      </c>
      <c r="P486" s="4">
        <v>321.32</v>
      </c>
      <c r="Q486" s="4">
        <v>69</v>
      </c>
    </row>
    <row r="487" spans="1:17">
      <c r="A487" t="s">
        <v>616</v>
      </c>
      <c r="B487" s="3">
        <v>45804</v>
      </c>
      <c r="C487" s="3">
        <v>45807</v>
      </c>
      <c r="D487" t="s">
        <v>163</v>
      </c>
      <c r="E487" t="s">
        <v>164</v>
      </c>
      <c r="F487" t="s">
        <v>50</v>
      </c>
      <c r="G487" t="s">
        <v>57</v>
      </c>
      <c r="H487" t="s">
        <v>58</v>
      </c>
      <c r="I487" t="s">
        <v>67</v>
      </c>
      <c r="J487" t="s">
        <v>44</v>
      </c>
      <c r="K487" t="s">
        <v>45</v>
      </c>
      <c r="L487" t="s">
        <v>46</v>
      </c>
      <c r="M487" s="4">
        <v>7.91</v>
      </c>
      <c r="N487">
        <v>6</v>
      </c>
      <c r="O487" s="5">
        <v>0.2</v>
      </c>
      <c r="P487" s="4">
        <v>37.950000000000003</v>
      </c>
      <c r="Q487" s="4">
        <v>3.01</v>
      </c>
    </row>
    <row r="488" spans="1:17">
      <c r="A488" t="s">
        <v>617</v>
      </c>
      <c r="B488" s="3">
        <v>45710</v>
      </c>
      <c r="C488" s="3">
        <v>45712</v>
      </c>
      <c r="D488" t="s">
        <v>48</v>
      </c>
      <c r="E488" t="s">
        <v>49</v>
      </c>
      <c r="F488" t="s">
        <v>50</v>
      </c>
      <c r="G488" t="s">
        <v>57</v>
      </c>
      <c r="H488" t="s">
        <v>58</v>
      </c>
      <c r="I488" t="s">
        <v>59</v>
      </c>
      <c r="J488" t="s">
        <v>60</v>
      </c>
      <c r="K488" t="s">
        <v>61</v>
      </c>
      <c r="L488" t="s">
        <v>96</v>
      </c>
      <c r="M488" s="4">
        <v>86.73</v>
      </c>
      <c r="N488">
        <v>6</v>
      </c>
      <c r="O488" s="5">
        <v>0.1</v>
      </c>
      <c r="P488" s="4">
        <v>468.36</v>
      </c>
      <c r="Q488" s="4">
        <v>39.99</v>
      </c>
    </row>
    <row r="489" spans="1:17">
      <c r="A489" t="s">
        <v>618</v>
      </c>
      <c r="B489" s="3">
        <v>45971</v>
      </c>
      <c r="C489" s="3">
        <v>45974</v>
      </c>
      <c r="D489" t="s">
        <v>105</v>
      </c>
      <c r="E489" t="s">
        <v>106</v>
      </c>
      <c r="F489" t="s">
        <v>50</v>
      </c>
      <c r="G489" t="s">
        <v>57</v>
      </c>
      <c r="H489" t="s">
        <v>58</v>
      </c>
      <c r="I489" t="s">
        <v>67</v>
      </c>
      <c r="J489" t="s">
        <v>51</v>
      </c>
      <c r="K489" t="s">
        <v>125</v>
      </c>
      <c r="L489" t="s">
        <v>126</v>
      </c>
      <c r="M489" s="4">
        <v>787.11</v>
      </c>
      <c r="N489">
        <v>8</v>
      </c>
      <c r="O489" s="5">
        <v>0</v>
      </c>
      <c r="P489" s="4">
        <v>6296.9</v>
      </c>
      <c r="Q489" s="4">
        <v>1055.8900000000001</v>
      </c>
    </row>
    <row r="490" spans="1:17">
      <c r="A490" t="s">
        <v>619</v>
      </c>
      <c r="B490" s="3">
        <v>45749</v>
      </c>
      <c r="C490" s="3">
        <v>45755</v>
      </c>
      <c r="D490" t="s">
        <v>154</v>
      </c>
      <c r="E490" t="s">
        <v>155</v>
      </c>
      <c r="F490" t="s">
        <v>50</v>
      </c>
      <c r="G490" t="s">
        <v>41</v>
      </c>
      <c r="H490" t="s">
        <v>42</v>
      </c>
      <c r="I490" t="s">
        <v>119</v>
      </c>
      <c r="J490" t="s">
        <v>51</v>
      </c>
      <c r="K490" t="s">
        <v>68</v>
      </c>
      <c r="L490" t="s">
        <v>69</v>
      </c>
      <c r="M490" s="4">
        <v>1408.13</v>
      </c>
      <c r="N490">
        <v>8</v>
      </c>
      <c r="O490" s="5">
        <v>0.1</v>
      </c>
      <c r="P490" s="4">
        <v>10138.540000000001</v>
      </c>
      <c r="Q490" s="4">
        <v>1349.27</v>
      </c>
    </row>
    <row r="491" spans="1:17">
      <c r="A491" t="s">
        <v>620</v>
      </c>
      <c r="B491" s="3">
        <v>45707</v>
      </c>
      <c r="C491" s="3">
        <v>45711</v>
      </c>
      <c r="D491" t="s">
        <v>83</v>
      </c>
      <c r="E491" t="s">
        <v>84</v>
      </c>
      <c r="F491" t="s">
        <v>40</v>
      </c>
      <c r="G491" t="s">
        <v>41</v>
      </c>
      <c r="H491" t="s">
        <v>42</v>
      </c>
      <c r="I491" t="s">
        <v>119</v>
      </c>
      <c r="J491" t="s">
        <v>51</v>
      </c>
      <c r="K491" t="s">
        <v>125</v>
      </c>
      <c r="L491" t="s">
        <v>126</v>
      </c>
      <c r="M491" s="4">
        <v>874.55</v>
      </c>
      <c r="N491">
        <v>5</v>
      </c>
      <c r="O491" s="5">
        <v>0.15</v>
      </c>
      <c r="P491" s="4">
        <v>3716.84</v>
      </c>
      <c r="Q491" s="4">
        <v>898.08</v>
      </c>
    </row>
    <row r="492" spans="1:17">
      <c r="A492" t="s">
        <v>621</v>
      </c>
      <c r="B492" s="3">
        <v>45751</v>
      </c>
      <c r="C492" s="3">
        <v>45757</v>
      </c>
      <c r="D492" t="s">
        <v>154</v>
      </c>
      <c r="E492" t="s">
        <v>155</v>
      </c>
      <c r="F492" t="s">
        <v>40</v>
      </c>
      <c r="G492" t="s">
        <v>85</v>
      </c>
      <c r="H492" t="s">
        <v>86</v>
      </c>
      <c r="I492" t="s">
        <v>95</v>
      </c>
      <c r="J492" t="s">
        <v>44</v>
      </c>
      <c r="K492" t="s">
        <v>165</v>
      </c>
      <c r="L492" t="s">
        <v>166</v>
      </c>
      <c r="M492" s="4">
        <v>16.079999999999998</v>
      </c>
      <c r="N492">
        <v>6</v>
      </c>
      <c r="O492" s="5">
        <v>0.2</v>
      </c>
      <c r="P492" s="4">
        <v>77.2</v>
      </c>
      <c r="Q492" s="4">
        <v>10.130000000000001</v>
      </c>
    </row>
    <row r="493" spans="1:17">
      <c r="A493" t="s">
        <v>622</v>
      </c>
      <c r="B493" s="3">
        <v>45745</v>
      </c>
      <c r="C493" s="3">
        <v>45748</v>
      </c>
      <c r="D493" t="s">
        <v>83</v>
      </c>
      <c r="E493" t="s">
        <v>84</v>
      </c>
      <c r="F493" t="s">
        <v>50</v>
      </c>
      <c r="G493" t="s">
        <v>41</v>
      </c>
      <c r="H493" t="s">
        <v>42</v>
      </c>
      <c r="I493" t="s">
        <v>119</v>
      </c>
      <c r="J493" t="s">
        <v>44</v>
      </c>
      <c r="K493" t="s">
        <v>143</v>
      </c>
      <c r="L493" t="s">
        <v>144</v>
      </c>
      <c r="M493" s="4">
        <v>18.27</v>
      </c>
      <c r="N493">
        <v>6</v>
      </c>
      <c r="O493" s="5">
        <v>0.1</v>
      </c>
      <c r="P493" s="4">
        <v>98.65</v>
      </c>
      <c r="Q493" s="4">
        <v>17.46</v>
      </c>
    </row>
    <row r="494" spans="1:17">
      <c r="A494" t="s">
        <v>623</v>
      </c>
      <c r="B494" s="3">
        <v>45930</v>
      </c>
      <c r="C494" s="3">
        <v>45934</v>
      </c>
      <c r="D494" t="s">
        <v>105</v>
      </c>
      <c r="E494" t="s">
        <v>106</v>
      </c>
      <c r="F494" t="s">
        <v>40</v>
      </c>
      <c r="G494" t="s">
        <v>41</v>
      </c>
      <c r="H494" t="s">
        <v>42</v>
      </c>
      <c r="I494" t="s">
        <v>119</v>
      </c>
      <c r="J494" t="s">
        <v>60</v>
      </c>
      <c r="K494" t="s">
        <v>73</v>
      </c>
      <c r="L494" t="s">
        <v>74</v>
      </c>
      <c r="M494" s="4">
        <v>383.25</v>
      </c>
      <c r="N494">
        <v>7</v>
      </c>
      <c r="O494" s="5">
        <v>0.1</v>
      </c>
      <c r="P494" s="4">
        <v>2414.4699999999998</v>
      </c>
      <c r="Q494" s="4">
        <v>495.49</v>
      </c>
    </row>
    <row r="495" spans="1:17">
      <c r="A495" t="s">
        <v>624</v>
      </c>
      <c r="B495" s="3">
        <v>45878</v>
      </c>
      <c r="C495" s="3">
        <v>45885</v>
      </c>
      <c r="D495" t="s">
        <v>89</v>
      </c>
      <c r="E495" t="s">
        <v>90</v>
      </c>
      <c r="F495" t="s">
        <v>50</v>
      </c>
      <c r="G495" t="s">
        <v>78</v>
      </c>
      <c r="H495" t="s">
        <v>79</v>
      </c>
      <c r="I495" t="s">
        <v>124</v>
      </c>
      <c r="J495" t="s">
        <v>44</v>
      </c>
      <c r="K495" t="s">
        <v>45</v>
      </c>
      <c r="L495" t="s">
        <v>46</v>
      </c>
      <c r="M495" s="4">
        <v>8.4600000000000009</v>
      </c>
      <c r="N495">
        <v>7</v>
      </c>
      <c r="O495" s="5">
        <v>0.1</v>
      </c>
      <c r="P495" s="4">
        <v>53.3</v>
      </c>
      <c r="Q495" s="4">
        <v>9.92</v>
      </c>
    </row>
    <row r="496" spans="1:17">
      <c r="A496" t="s">
        <v>625</v>
      </c>
      <c r="B496" s="3">
        <v>45961</v>
      </c>
      <c r="C496" s="3">
        <v>45966</v>
      </c>
      <c r="D496" t="s">
        <v>108</v>
      </c>
      <c r="E496" t="s">
        <v>109</v>
      </c>
      <c r="F496" t="s">
        <v>40</v>
      </c>
      <c r="G496" t="s">
        <v>41</v>
      </c>
      <c r="H496" t="s">
        <v>42</v>
      </c>
      <c r="I496" t="s">
        <v>101</v>
      </c>
      <c r="J496" t="s">
        <v>60</v>
      </c>
      <c r="K496" t="s">
        <v>61</v>
      </c>
      <c r="L496" t="s">
        <v>62</v>
      </c>
      <c r="M496" s="4">
        <v>65.72</v>
      </c>
      <c r="N496">
        <v>8</v>
      </c>
      <c r="O496" s="5">
        <v>0</v>
      </c>
      <c r="P496" s="4">
        <v>525.73</v>
      </c>
      <c r="Q496" s="4">
        <v>134.33000000000001</v>
      </c>
    </row>
    <row r="497" spans="1:17">
      <c r="A497" t="s">
        <v>626</v>
      </c>
      <c r="B497" s="3">
        <v>45825</v>
      </c>
      <c r="C497" s="3">
        <v>45829</v>
      </c>
      <c r="D497" t="s">
        <v>154</v>
      </c>
      <c r="E497" t="s">
        <v>155</v>
      </c>
      <c r="F497" t="s">
        <v>40</v>
      </c>
      <c r="G497" t="s">
        <v>78</v>
      </c>
      <c r="H497" t="s">
        <v>79</v>
      </c>
      <c r="I497" t="s">
        <v>135</v>
      </c>
      <c r="J497" t="s">
        <v>51</v>
      </c>
      <c r="K497" t="s">
        <v>102</v>
      </c>
      <c r="L497" t="s">
        <v>103</v>
      </c>
      <c r="M497" s="4">
        <v>301.93</v>
      </c>
      <c r="N497">
        <v>1</v>
      </c>
      <c r="O497" s="5">
        <v>0</v>
      </c>
      <c r="P497" s="4">
        <v>301.93</v>
      </c>
      <c r="Q497" s="4">
        <v>25.58</v>
      </c>
    </row>
    <row r="498" spans="1:17">
      <c r="A498" t="s">
        <v>627</v>
      </c>
      <c r="B498" s="3">
        <v>45807</v>
      </c>
      <c r="C498" s="3">
        <v>45811</v>
      </c>
      <c r="D498" t="s">
        <v>64</v>
      </c>
      <c r="E498" t="s">
        <v>65</v>
      </c>
      <c r="F498" t="s">
        <v>40</v>
      </c>
      <c r="G498" t="s">
        <v>41</v>
      </c>
      <c r="H498" t="s">
        <v>42</v>
      </c>
      <c r="I498" t="s">
        <v>43</v>
      </c>
      <c r="J498" t="s">
        <v>51</v>
      </c>
      <c r="K498" t="s">
        <v>68</v>
      </c>
      <c r="L498" t="s">
        <v>69</v>
      </c>
      <c r="M498" s="4">
        <v>1364.64</v>
      </c>
      <c r="N498">
        <v>8</v>
      </c>
      <c r="O498" s="5">
        <v>0</v>
      </c>
      <c r="P498" s="4">
        <v>10917.14</v>
      </c>
      <c r="Q498" s="4">
        <v>2940.6</v>
      </c>
    </row>
    <row r="499" spans="1:17">
      <c r="A499" t="s">
        <v>628</v>
      </c>
      <c r="B499" s="3">
        <v>45662</v>
      </c>
      <c r="C499" s="3">
        <v>45667</v>
      </c>
      <c r="D499" t="s">
        <v>89</v>
      </c>
      <c r="E499" t="s">
        <v>90</v>
      </c>
      <c r="F499" t="s">
        <v>40</v>
      </c>
      <c r="G499" t="s">
        <v>57</v>
      </c>
      <c r="H499" t="s">
        <v>58</v>
      </c>
      <c r="I499" t="s">
        <v>91</v>
      </c>
      <c r="J499" t="s">
        <v>44</v>
      </c>
      <c r="K499" t="s">
        <v>110</v>
      </c>
      <c r="L499" t="s">
        <v>111</v>
      </c>
      <c r="M499" s="4">
        <v>11.11</v>
      </c>
      <c r="N499">
        <v>7</v>
      </c>
      <c r="O499" s="5">
        <v>0.2</v>
      </c>
      <c r="P499" s="4">
        <v>62.19</v>
      </c>
      <c r="Q499" s="4">
        <v>7.68</v>
      </c>
    </row>
    <row r="500" spans="1:17">
      <c r="A500" t="s">
        <v>629</v>
      </c>
      <c r="B500" s="3">
        <v>45802</v>
      </c>
      <c r="C500" s="3">
        <v>45809</v>
      </c>
      <c r="D500" t="s">
        <v>108</v>
      </c>
      <c r="E500" t="s">
        <v>109</v>
      </c>
      <c r="F500" t="s">
        <v>40</v>
      </c>
      <c r="G500" t="s">
        <v>41</v>
      </c>
      <c r="H500" t="s">
        <v>42</v>
      </c>
      <c r="I500" t="s">
        <v>43</v>
      </c>
      <c r="J500" t="s">
        <v>60</v>
      </c>
      <c r="K500" t="s">
        <v>128</v>
      </c>
      <c r="L500" t="s">
        <v>129</v>
      </c>
      <c r="M500" s="4">
        <v>276.18</v>
      </c>
      <c r="N500">
        <v>1</v>
      </c>
      <c r="O500" s="5">
        <v>0</v>
      </c>
      <c r="P500" s="4">
        <v>276.18</v>
      </c>
      <c r="Q500" s="4">
        <v>54.56</v>
      </c>
    </row>
    <row r="501" spans="1:17">
      <c r="A501" t="s">
        <v>630</v>
      </c>
      <c r="B501" s="3">
        <v>45997</v>
      </c>
      <c r="C501" s="3">
        <v>45999</v>
      </c>
      <c r="D501" t="s">
        <v>163</v>
      </c>
      <c r="E501" t="s">
        <v>164</v>
      </c>
      <c r="F501" t="s">
        <v>66</v>
      </c>
      <c r="G501" t="s">
        <v>78</v>
      </c>
      <c r="H501" t="s">
        <v>79</v>
      </c>
      <c r="I501" t="s">
        <v>124</v>
      </c>
      <c r="J501" t="s">
        <v>44</v>
      </c>
      <c r="K501" t="s">
        <v>140</v>
      </c>
      <c r="L501" t="s">
        <v>141</v>
      </c>
      <c r="M501" s="4">
        <v>23.44</v>
      </c>
      <c r="N501">
        <v>8</v>
      </c>
      <c r="O501" s="5">
        <v>0</v>
      </c>
      <c r="P501" s="4">
        <v>187.53</v>
      </c>
      <c r="Q501" s="4">
        <v>27.41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3.8"/>
  <cols>
    <col min="1" max="1" width="7.09765625" bestFit="1" customWidth="1"/>
    <col min="2" max="2" width="16.69921875" bestFit="1" customWidth="1"/>
    <col min="4" max="4" width="10.796875" bestFit="1" customWidth="1"/>
    <col min="5" max="5" width="7.19921875" customWidth="1"/>
  </cols>
  <sheetData>
    <row r="1" spans="1:5">
      <c r="A1" s="1" t="s">
        <v>26</v>
      </c>
      <c r="B1" s="1" t="s">
        <v>631</v>
      </c>
      <c r="D1" s="1" t="s">
        <v>25</v>
      </c>
      <c r="E1" s="1" t="s">
        <v>632</v>
      </c>
    </row>
    <row r="2" spans="1:5">
      <c r="A2" t="s">
        <v>41</v>
      </c>
      <c r="B2" t="s">
        <v>633</v>
      </c>
      <c r="D2" t="s">
        <v>50</v>
      </c>
      <c r="E2" t="s">
        <v>634</v>
      </c>
    </row>
    <row r="3" spans="1:5">
      <c r="A3" t="s">
        <v>85</v>
      </c>
      <c r="B3" t="s">
        <v>635</v>
      </c>
      <c r="D3" t="s">
        <v>66</v>
      </c>
      <c r="E3" t="s">
        <v>636</v>
      </c>
    </row>
    <row r="4" spans="1:5">
      <c r="A4" t="s">
        <v>57</v>
      </c>
      <c r="B4" t="s">
        <v>637</v>
      </c>
      <c r="D4" t="s">
        <v>40</v>
      </c>
      <c r="E4" t="s">
        <v>638</v>
      </c>
    </row>
    <row r="5" spans="1:5">
      <c r="A5" t="s">
        <v>78</v>
      </c>
      <c r="B5" t="s">
        <v>639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workbookViewId="0">
      <selection activeCell="C20" sqref="C20"/>
    </sheetView>
  </sheetViews>
  <sheetFormatPr defaultRowHeight="13.8"/>
  <cols>
    <col min="1" max="1" width="8" customWidth="1"/>
    <col min="2" max="2" width="15" customWidth="1"/>
    <col min="3" max="3" width="42" customWidth="1"/>
    <col min="4" max="4" width="48" customWidth="1"/>
    <col min="5" max="6" width="18" customWidth="1"/>
  </cols>
  <sheetData>
    <row r="1" spans="1:6" ht="19.2">
      <c r="A1" s="8" t="s">
        <v>640</v>
      </c>
      <c r="B1" s="8"/>
      <c r="C1" s="8"/>
      <c r="D1" s="8"/>
      <c r="E1" s="8"/>
      <c r="F1" s="8"/>
    </row>
    <row r="3" spans="1:6">
      <c r="A3" s="1" t="s">
        <v>641</v>
      </c>
      <c r="B3" s="1" t="s">
        <v>642</v>
      </c>
      <c r="C3" s="1" t="s">
        <v>643</v>
      </c>
      <c r="D3" s="1" t="s">
        <v>644</v>
      </c>
      <c r="E3" s="1" t="s">
        <v>645</v>
      </c>
      <c r="F3" s="1" t="s">
        <v>646</v>
      </c>
    </row>
    <row r="4" spans="1:6">
      <c r="A4">
        <v>1</v>
      </c>
      <c r="B4" t="s">
        <v>647</v>
      </c>
      <c r="C4" t="s">
        <v>648</v>
      </c>
      <c r="D4">
        <f>SUM(Sales_Data!P2:P501)</f>
        <v>565620.75999999989</v>
      </c>
      <c r="F4">
        <f>SUM(Sales_Data!P2:P501)</f>
        <v>565620.75999999989</v>
      </c>
    </row>
    <row r="5" spans="1:6">
      <c r="A5">
        <v>2</v>
      </c>
      <c r="B5" t="s">
        <v>649</v>
      </c>
      <c r="C5" t="s">
        <v>650</v>
      </c>
      <c r="D5">
        <f>AVERAGE(Sales_Data!Q2:Q501)</f>
        <v>183.75838000000002</v>
      </c>
      <c r="F5">
        <f>AVERAGE(Sales_Data!Q2:Q501)</f>
        <v>183.75838000000002</v>
      </c>
    </row>
    <row r="6" spans="1:6">
      <c r="A6">
        <v>3</v>
      </c>
      <c r="B6" t="s">
        <v>651</v>
      </c>
      <c r="C6" t="s">
        <v>652</v>
      </c>
      <c r="D6">
        <f>COUNTIF(Sales_Data!G2:G501,"North")</f>
        <v>139</v>
      </c>
      <c r="F6">
        <f>COUNTIF(Sales_Data!G2:G501,"North")</f>
        <v>139</v>
      </c>
    </row>
    <row r="7" spans="1:6">
      <c r="A7">
        <v>4</v>
      </c>
      <c r="B7" t="s">
        <v>653</v>
      </c>
      <c r="C7" t="s">
        <v>654</v>
      </c>
      <c r="D7">
        <f>SUMIF(Sales_Data!J2:J501,"Technology",Sales_Data!P2:P501)</f>
        <v>375075.39</v>
      </c>
      <c r="F7">
        <f>SUMIF(Sales_Data!J2:J501,"Technology",Sales_Data!P2:P501)</f>
        <v>375075.39</v>
      </c>
    </row>
    <row r="8" spans="1:6">
      <c r="A8">
        <v>5</v>
      </c>
      <c r="B8" t="s">
        <v>655</v>
      </c>
      <c r="C8" t="s">
        <v>656</v>
      </c>
      <c r="D8">
        <f>SUMIFS(Sales_Data!P2:P501,Sales_Data!J2:J501,"Technology",Sales_Data!G2:G501,"North")</f>
        <v>126712.08</v>
      </c>
      <c r="F8">
        <f>SUMIFS(Sales_Data!P2:P501,Sales_Data!J2:J501,"Technology",Sales_Data!G2:G501,"North")</f>
        <v>126712.08</v>
      </c>
    </row>
    <row r="9" spans="1:6">
      <c r="A9">
        <v>6</v>
      </c>
      <c r="B9" t="s">
        <v>657</v>
      </c>
      <c r="C9" t="s">
        <v>658</v>
      </c>
      <c r="D9" t="str">
        <f>IF(Sales_Data!Q2&gt;0,"Profit","Loss")</f>
        <v>Profit</v>
      </c>
      <c r="F9" t="str">
        <f>IF(Sales_Data!Q2&gt;0,"Profit","Loss")</f>
        <v>Profit</v>
      </c>
    </row>
    <row r="10" spans="1:6">
      <c r="A10">
        <v>7</v>
      </c>
      <c r="B10" t="s">
        <v>659</v>
      </c>
      <c r="C10" t="s">
        <v>660</v>
      </c>
      <c r="D10" t="str">
        <f>_xlfn.XLOOKUP(Sales_Data!G2,Lookup_Data!A2:A5,Lookup_Data!B2:B5)</f>
        <v>Priya Shah</v>
      </c>
      <c r="F10" t="str">
        <f>_xlfn.XLOOKUP(Sales_Data!G2,Lookup_Data!A2:A5,Lookup_Data!B2:B5)</f>
        <v>Priya Shah</v>
      </c>
    </row>
    <row r="11" spans="1:6">
      <c r="A11">
        <v>8</v>
      </c>
      <c r="B11" t="s">
        <v>661</v>
      </c>
      <c r="C11" t="s">
        <v>662</v>
      </c>
      <c r="D11" t="str">
        <f>TEXT(Sales_Data!B2,"mmmm")</f>
        <v>March</v>
      </c>
      <c r="F11" t="str">
        <f>TEXT(Sales_Data!B2,"mmmm")</f>
        <v>March</v>
      </c>
    </row>
    <row r="12" spans="1:6">
      <c r="A12">
        <v>9</v>
      </c>
      <c r="B12" t="s">
        <v>663</v>
      </c>
      <c r="C12" t="s">
        <v>664</v>
      </c>
      <c r="D12">
        <f>ROUND(Sales_Data!P2,0)</f>
        <v>14</v>
      </c>
      <c r="F12">
        <f>ROUND(Sales_Data!P2,0)</f>
        <v>14</v>
      </c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workbookViewId="0">
      <selection activeCell="G15" sqref="G15"/>
    </sheetView>
  </sheetViews>
  <sheetFormatPr defaultRowHeight="13.8"/>
  <cols>
    <col min="1" max="1" width="6" customWidth="1"/>
    <col min="2" max="2" width="48" customWidth="1"/>
    <col min="3" max="3" width="50" customWidth="1"/>
    <col min="4" max="4" width="22" customWidth="1"/>
    <col min="5" max="5" width="14" customWidth="1"/>
  </cols>
  <sheetData>
    <row r="1" spans="1:5" ht="19.2">
      <c r="A1" s="8" t="s">
        <v>665</v>
      </c>
      <c r="B1" s="8"/>
      <c r="C1" s="8"/>
      <c r="D1" s="8"/>
      <c r="E1" s="8"/>
    </row>
    <row r="3" spans="1:5">
      <c r="A3" s="1" t="s">
        <v>666</v>
      </c>
      <c r="B3" s="1" t="s">
        <v>667</v>
      </c>
      <c r="C3" s="1" t="s">
        <v>668</v>
      </c>
      <c r="D3" s="1" t="s">
        <v>669</v>
      </c>
      <c r="E3" s="1" t="s">
        <v>670</v>
      </c>
    </row>
    <row r="4" spans="1:5">
      <c r="A4">
        <v>1</v>
      </c>
      <c r="B4" t="s">
        <v>671</v>
      </c>
      <c r="C4" t="s">
        <v>672</v>
      </c>
      <c r="D4" t="s">
        <v>673</v>
      </c>
      <c r="E4" t="s">
        <v>701</v>
      </c>
    </row>
    <row r="5" spans="1:5">
      <c r="A5">
        <v>2</v>
      </c>
      <c r="B5" t="s">
        <v>675</v>
      </c>
      <c r="C5" t="s">
        <v>676</v>
      </c>
      <c r="D5" t="s">
        <v>677</v>
      </c>
      <c r="E5" t="s">
        <v>674</v>
      </c>
    </row>
    <row r="6" spans="1:5">
      <c r="A6">
        <v>3</v>
      </c>
      <c r="B6" t="s">
        <v>678</v>
      </c>
      <c r="C6" t="s">
        <v>679</v>
      </c>
      <c r="D6" t="s">
        <v>680</v>
      </c>
      <c r="E6" t="s">
        <v>674</v>
      </c>
    </row>
    <row r="7" spans="1:5">
      <c r="A7">
        <v>4</v>
      </c>
      <c r="B7" t="s">
        <v>681</v>
      </c>
      <c r="C7" t="s">
        <v>682</v>
      </c>
      <c r="D7" t="s">
        <v>683</v>
      </c>
      <c r="E7" t="s">
        <v>674</v>
      </c>
    </row>
    <row r="8" spans="1:5">
      <c r="A8">
        <v>5</v>
      </c>
      <c r="B8" t="s">
        <v>684</v>
      </c>
      <c r="C8" t="s">
        <v>685</v>
      </c>
      <c r="D8" t="s">
        <v>686</v>
      </c>
      <c r="E8" t="s">
        <v>674</v>
      </c>
    </row>
  </sheetData>
  <mergeCells count="1">
    <mergeCell ref="A1: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workbookViewId="0"/>
  </sheetViews>
  <sheetFormatPr defaultRowHeight="13.8"/>
  <cols>
    <col min="1" max="1" width="28" customWidth="1"/>
    <col min="2" max="2" width="70" customWidth="1"/>
  </cols>
  <sheetData>
    <row r="1" spans="1:2">
      <c r="A1" s="6" t="s">
        <v>687</v>
      </c>
      <c r="B1" s="6" t="s">
        <v>688</v>
      </c>
    </row>
    <row r="2" spans="1:2">
      <c r="A2" t="s">
        <v>5</v>
      </c>
    </row>
    <row r="3" spans="1:2">
      <c r="A3" t="s">
        <v>689</v>
      </c>
    </row>
    <row r="4" spans="1:2">
      <c r="A4" t="s">
        <v>690</v>
      </c>
    </row>
    <row r="5" spans="1:2">
      <c r="A5" t="s">
        <v>691</v>
      </c>
    </row>
    <row r="6" spans="1:2">
      <c r="A6" t="s">
        <v>692</v>
      </c>
    </row>
    <row r="7" spans="1:2">
      <c r="A7" t="s">
        <v>693</v>
      </c>
    </row>
    <row r="8" spans="1:2">
      <c r="A8" t="s">
        <v>694</v>
      </c>
    </row>
    <row r="9" spans="1:2">
      <c r="A9" t="s">
        <v>695</v>
      </c>
    </row>
    <row r="10" spans="1:2">
      <c r="A1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Week1_Checklist</vt:lpstr>
      <vt:lpstr>Pivot_Category_Sales</vt:lpstr>
      <vt:lpstr>Pivot_Region_Sales</vt:lpstr>
      <vt:lpstr>Pivot_Subcategory_Profit</vt:lpstr>
      <vt:lpstr>Pivot_Monthly_Sales</vt:lpstr>
      <vt:lpstr>Pivot_Segment_Sales</vt:lpstr>
      <vt:lpstr>Dashboard</vt:lpstr>
      <vt:lpstr>Sales_Data</vt:lpstr>
      <vt:lpstr>Lookup_Data</vt:lpstr>
      <vt:lpstr>Formula_Practice</vt:lpstr>
      <vt:lpstr>Stakeholder_Questions</vt:lpstr>
      <vt:lpstr>Week1_Notes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Darshan Veerabhadrappa Meti</cp:lastModifiedBy>
  <dcterms:modified xsi:type="dcterms:W3CDTF">2026-09-05T15:58:55Z</dcterms:modified>
</cp:coreProperties>
</file>