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1c7cd56a5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966779f264ee4680"/>
    <x:sheet xmlns:r="http://schemas.openxmlformats.org/officeDocument/2006/relationships" name="KPI_Summary" sheetId="2" r:id="R3ea3f0420a80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$#,##0.0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beeea69d11433f" /><Relationship Type="http://schemas.openxmlformats.org/officeDocument/2006/relationships/theme" Target="/xl/theme/theme1.xml" Id="Re40d7e7620b349ba" /><Relationship Type="http://schemas.openxmlformats.org/officeDocument/2006/relationships/sharedStrings" Target="/xl/sharedStrings.xml" Id="R6ea31a4bb951419a" /><Relationship Type="http://schemas.openxmlformats.org/officeDocument/2006/relationships/worksheet" Target="/xl/worksheets/sheet1.xml" Id="R966779f264ee4680" /><Relationship Type="http://schemas.openxmlformats.org/officeDocument/2006/relationships/worksheet" Target="/xl/worksheets/sheet2.xml" Id="R3ea3f0420a8046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c7c53b97c144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'KPI_Summary'!$A$11:$A$12</c:f>
              <c:strCache>
                <c:ptCount val="0"/>
              </c:strCache>
            </c:strRef>
          </c:cat>
          <c:val>
            <c:numRef>
              <c:f>'KPI_Summary'!$B$11:$B$12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c7c53b97c144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3ce3f6f43494a6c" /></Relationships>
</file>

<file path=xl/worksheets/sheet1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10.130000114440918" hidden="0" customWidth="1"/>
    <x:col min="3" max="3" width="16" hidden="0" customWidth="1"/>
    <x:col min="4" max="4" width="18" hidden="0" customWidth="1"/>
    <x:col min="5" max="5" width="15" hidden="0" customWidth="1"/>
    <x:col min="6" max="6" width="7.25" hidden="0" customWidth="1"/>
    <x:col min="7" max="7" width="8" hidden="0" customWidth="1"/>
    <x:col min="8" max="8" width="7.130000114440918" hidden="0" customWidth="1"/>
    <x:col min="9" max="9" width="8" hidden="0" customWidth="1"/>
    <x:col min="10" max="10" width="6.630000114440918" hidden="0" customWidth="1"/>
  </x:cols>
  <x:sheetData>
    <x:row r="1">
      <x:c r="A1" s="6" t="str">
        <x:v>OrderID</x:v>
      </x:c>
      <x:c r="B1" s="6" t="str">
        <x:v>OrderDate</x:v>
      </x:c>
      <x:c r="C1" s="6" t="str">
        <x:v>Category</x:v>
      </x:c>
      <x:c r="D1" s="6" t="str">
        <x:v>Product</x:v>
      </x:c>
      <x:c r="E1" s="6" t="str">
        <x:v>Region</x:v>
      </x:c>
      <x:c r="F1" s="6" t="str">
        <x:v>Quantity</x:v>
      </x:c>
      <x:c r="G1" s="6" t="str">
        <x:v>UnitPrice</x:v>
      </x:c>
      <x:c r="H1" s="6" t="str">
        <x:v>UnitCost</x:v>
      </x:c>
      <x:c r="I1" s="6" t="str">
        <x:v>Sales</x:v>
      </x:c>
      <x:c r="J1" s="6" t="str">
        <x:v>Profit</x:v>
      </x:c>
    </x:row>
    <x:row r="2">
      <x:c r="A2" t="n">
        <x:v>3001</x:v>
      </x:c>
      <x:c r="B2" s="12" t="n">
        <x:v>46204</x:v>
      </x:c>
      <x:c r="C2" t="str">
        <x:v>Computers</x:v>
      </x:c>
      <x:c r="D2" t="str">
        <x:v>Laptop</x:v>
      </x:c>
      <x:c r="E2" t="str">
        <x:v>Darwin</x:v>
      </x:c>
      <x:c r="F2" t="n">
        <x:v>2</x:v>
      </x:c>
      <x:c r="G2" s="14" t="n">
        <x:v>1200</x:v>
      </x:c>
      <x:c r="H2" s="14" t="n">
        <x:v>900</x:v>
      </x:c>
      <x:c r="I2" s="14" t="n">
        <x:f>F2*G2</x:f>
        <x:v>2400</x:v>
      </x:c>
      <x:c r="J2" s="14" t="n">
        <x:f>F2*(G2-H2)</x:f>
        <x:v>600</x:v>
      </x:c>
    </x:row>
    <x:row r="3">
      <x:c r="A3" t="n">
        <x:v>3002</x:v>
      </x:c>
      <x:c r="B3" s="12" t="n">
        <x:v>46206</x:v>
      </x:c>
      <x:c r="C3" t="str">
        <x:v>Accessories</x:v>
      </x:c>
      <x:c r="D3" t="str">
        <x:v>Monitor</x:v>
      </x:c>
      <x:c r="E3" t="str">
        <x:v>Darwin</x:v>
      </x:c>
      <x:c r="F3" t="n">
        <x:v>4</x:v>
      </x:c>
      <x:c r="G3" s="14" t="n">
        <x:v>350</x:v>
      </x:c>
      <x:c r="H3" s="14" t="n">
        <x:v>250</x:v>
      </x:c>
      <x:c r="I3" s="14" t="n">
        <x:f>F3*G3</x:f>
        <x:v>1400</x:v>
      </x:c>
      <x:c r="J3" s="14" t="n">
        <x:f>F3*(G3-H3)</x:f>
        <x:v>400</x:v>
      </x:c>
    </x:row>
    <x:row r="4">
      <x:c r="A4" t="n">
        <x:v>3003</x:v>
      </x:c>
      <x:c r="B4" s="12" t="n">
        <x:v>46208</x:v>
      </x:c>
      <x:c r="C4" t="str">
        <x:v>Accessories</x:v>
      </x:c>
      <x:c r="D4" t="str">
        <x:v>Keyboard</x:v>
      </x:c>
      <x:c r="E4" t="str">
        <x:v>Palmerston</x:v>
      </x:c>
      <x:c r="F4" t="n">
        <x:v>6</x:v>
      </x:c>
      <x:c r="G4" s="14" t="n">
        <x:v>80</x:v>
      </x:c>
      <x:c r="H4" s="14" t="n">
        <x:v>45</x:v>
      </x:c>
      <x:c r="I4" s="14" t="n">
        <x:f>F4*G4</x:f>
        <x:v>480</x:v>
      </x:c>
      <x:c r="J4" s="14" t="n">
        <x:f>F4*(G4-H4)</x:f>
        <x:v>210</x:v>
      </x:c>
    </x:row>
    <x:row r="5">
      <x:c r="A5" t="n">
        <x:v>3004</x:v>
      </x:c>
      <x:c r="B5" s="12" t="n">
        <x:v>46213</x:v>
      </x:c>
      <x:c r="C5" t="str">
        <x:v>Computers</x:v>
      </x:c>
      <x:c r="D5" t="str">
        <x:v>Laptop</x:v>
      </x:c>
      <x:c r="E5" t="str">
        <x:v>Palmerston</x:v>
      </x:c>
      <x:c r="F5" t="n">
        <x:v>1</x:v>
      </x:c>
      <x:c r="G5" s="14" t="n">
        <x:v>1250</x:v>
      </x:c>
      <x:c r="H5" s="14" t="n">
        <x:v>920</x:v>
      </x:c>
      <x:c r="I5" s="14" t="n">
        <x:f>F5*G5</x:f>
        <x:v>1250</x:v>
      </x:c>
      <x:c r="J5" s="14" t="n">
        <x:f>F5*(G5-H5)</x:f>
        <x:v>330</x:v>
      </x:c>
    </x:row>
    <x:row r="6">
      <x:c r="A6" t="n">
        <x:v>3005</x:v>
      </x:c>
      <x:c r="B6" s="12" t="n">
        <x:v>46218</x:v>
      </x:c>
      <x:c r="C6" t="str">
        <x:v>Accessories</x:v>
      </x:c>
      <x:c r="D6" t="str">
        <x:v>Mouse</x:v>
      </x:c>
      <x:c r="E6" t="str">
        <x:v>Darwin</x:v>
      </x:c>
      <x:c r="F6" t="n">
        <x:v>10</x:v>
      </x:c>
      <x:c r="G6" s="14" t="n">
        <x:v>35</x:v>
      </x:c>
      <x:c r="H6" s="14" t="n">
        <x:v>18</x:v>
      </x:c>
      <x:c r="I6" s="14" t="n">
        <x:f>F6*G6</x:f>
        <x:v>350</x:v>
      </x:c>
      <x:c r="J6" s="14" t="n">
        <x:f>F6*(G6-H6)</x:f>
        <x:v>170</x:v>
      </x:c>
    </x:row>
    <x:row r="7">
      <x:c r="A7" t="n">
        <x:v>3006</x:v>
      </x:c>
      <x:c r="B7" s="12" t="n">
        <x:v>46236</x:v>
      </x:c>
      <x:c r="C7" t="str">
        <x:v>Accessories</x:v>
      </x:c>
      <x:c r="D7" t="str">
        <x:v>Dock</x:v>
      </x:c>
      <x:c r="E7" t="str">
        <x:v>Darwin</x:v>
      </x:c>
      <x:c r="F7" t="n">
        <x:v>3</x:v>
      </x:c>
      <x:c r="G7" s="14" t="n">
        <x:v>220</x:v>
      </x:c>
      <x:c r="H7" s="14" t="n">
        <x:v>150</x:v>
      </x:c>
      <x:c r="I7" s="14" t="n">
        <x:f>F7*G7</x:f>
        <x:v>660</x:v>
      </x:c>
      <x:c r="J7" s="14" t="n">
        <x:f>F7*(G7-H7)</x:f>
        <x:v>210</x:v>
      </x:c>
    </x:row>
    <x:row r="8">
      <x:c r="A8" t="n">
        <x:v>3007</x:v>
      </x:c>
      <x:c r="B8" s="12" t="n">
        <x:v>46240</x:v>
      </x:c>
      <x:c r="C8" t="str">
        <x:v>Accessories</x:v>
      </x:c>
      <x:c r="D8" t="str">
        <x:v>Monitor</x:v>
      </x:c>
      <x:c r="E8" t="str">
        <x:v>Palmerston</x:v>
      </x:c>
      <x:c r="F8" t="n">
        <x:v>2</x:v>
      </x:c>
      <x:c r="G8" s="14" t="n">
        <x:v>340</x:v>
      </x:c>
      <x:c r="H8" s="14" t="n">
        <x:v>245</x:v>
      </x:c>
      <x:c r="I8" s="14" t="n">
        <x:f>F8*G8</x:f>
        <x:v>680</x:v>
      </x:c>
      <x:c r="J8" s="14" t="n">
        <x:f>F8*(G8-H8)</x:f>
        <x:v>190</x:v>
      </x:c>
    </x:row>
    <x:row r="9">
      <x:c r="A9" t="n">
        <x:v>3008</x:v>
      </x:c>
      <x:c r="B9" s="12" t="n">
        <x:v>46244</x:v>
      </x:c>
      <x:c r="C9" t="str">
        <x:v>Accessories</x:v>
      </x:c>
      <x:c r="D9" t="str">
        <x:v>Keyboard</x:v>
      </x:c>
      <x:c r="E9" t="str">
        <x:v>Darwin</x:v>
      </x:c>
      <x:c r="F9" t="n">
        <x:v>5</x:v>
      </x:c>
      <x:c r="G9" s="14" t="n">
        <x:v>75</x:v>
      </x:c>
      <x:c r="H9" s="14" t="n">
        <x:v>42</x:v>
      </x:c>
      <x:c r="I9" s="14" t="n">
        <x:f>F9*G9</x:f>
        <x:v>375</x:v>
      </x:c>
      <x:c r="J9" s="14" t="n">
        <x:f>F9*(G9-H9)</x:f>
        <x:v>165</x:v>
      </x:c>
    </x:row>
    <x:row r="10">
      <x:c r="A10" t="n">
        <x:v>3009</x:v>
      </x:c>
      <x:c r="B10" s="12" t="n">
        <x:v>46249</x:v>
      </x:c>
      <x:c r="C10" t="str">
        <x:v>Computers</x:v>
      </x:c>
      <x:c r="D10" t="str">
        <x:v>Laptop</x:v>
      </x:c>
      <x:c r="E10" t="str">
        <x:v>Darwin</x:v>
      </x:c>
      <x:c r="F10" t="n">
        <x:v>1</x:v>
      </x:c>
      <x:c r="G10" s="14" t="n">
        <x:v>1180</x:v>
      </x:c>
      <x:c r="H10" s="14" t="n">
        <x:v>890</x:v>
      </x:c>
      <x:c r="I10" s="14" t="n">
        <x:f>F10*G10</x:f>
        <x:v>1180</x:v>
      </x:c>
      <x:c r="J10" s="14" t="n">
        <x:f>F10*(G10-H10)</x:f>
        <x:v>290</x:v>
      </x:c>
    </x:row>
    <x:row r="11">
      <x:c r="A11" t="n">
        <x:v>3010</x:v>
      </x:c>
      <x:c r="B11" s="12" t="n">
        <x:v>46254</x:v>
      </x:c>
      <x:c r="C11" t="str">
        <x:v>Accessories</x:v>
      </x:c>
      <x:c r="D11" t="str">
        <x:v>Mouse</x:v>
      </x:c>
      <x:c r="E11" t="str">
        <x:v>Palmerston</x:v>
      </x:c>
      <x:c r="F11" t="n">
        <x:v>8</x:v>
      </x:c>
      <x:c r="G11" s="14" t="n">
        <x:v>38</x:v>
      </x:c>
      <x:c r="H11" s="14" t="n">
        <x:v>20</x:v>
      </x:c>
      <x:c r="I11" s="14" t="n">
        <x:f>F11*G11</x:f>
        <x:v>304</x:v>
      </x:c>
      <x:c r="J11" s="14" t="n">
        <x:f>F11*(G11-H11)</x:f>
        <x:v>144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>
      <x:c r="A1" s="19" t="str">
        <x:v>Power BI Dashboard Data - Validation Summary</x:v>
      </x:c>
      <x:c r="B1" s="19" t="str"/>
      <x:c r="C1" s="19" t="str"/>
      <x:c r="D1" s="19" t="str"/>
      <x:c r="E1" s="19" t="str"/>
      <x:c r="F1" s="19" t="str"/>
      <x:c r="G1" s="19" t="str"/>
      <x:c r="H1" s="19" t="str"/>
    </x:row>
    <x:row r="3">
      <x:c r="A3" s="6" t="str">
        <x:v>KPI</x:v>
      </x:c>
      <x:c r="B3" s="6" t="str">
        <x:v>Value</x:v>
      </x:c>
    </x:row>
    <x:row r="4">
      <x:c r="A4" t="str">
        <x:v>Total Sales</x:v>
      </x:c>
      <x:c r="B4" s="14" t="n">
        <x:f>SUM(Sales_Data!I2:I11)</x:f>
        <x:v>9079</x:v>
      </x:c>
    </x:row>
    <x:row r="5">
      <x:c r="A5" t="str">
        <x:v>Total Profit</x:v>
      </x:c>
      <x:c r="B5" s="14" t="n">
        <x:f>SUM(Sales_Data!J2:J11)</x:f>
        <x:v>2709</x:v>
      </x:c>
    </x:row>
    <x:row r="6">
      <x:c r="A6" t="str">
        <x:v>Order Count</x:v>
      </x:c>
      <x:c r="B6" t="n">
        <x:f>COUNTA(Sales_Data!A2:A11)</x:f>
        <x:v>10</x:v>
      </x:c>
    </x:row>
    <x:row r="7">
      <x:c r="A7" t="str">
        <x:v>Average Order Value</x:v>
      </x:c>
      <x:c r="B7" s="14" t="n">
        <x:f>B4/B6</x:f>
        <x:v>907.9</x:v>
      </x:c>
    </x:row>
    <x:row r="8">
      <x:c r="A8" t="str">
        <x:v>Profit Margin %</x:v>
      </x:c>
      <x:c r="B8" s="24" t="n">
        <x:f>B5/B4</x:f>
        <x:v>0.29838087895142634</x:v>
      </x:c>
    </x:row>
    <x:row r="10">
      <x:c r="A10" s="6" t="str">
        <x:v>Region</x:v>
      </x:c>
      <x:c r="B10" s="6" t="str">
        <x:v>Sales</x:v>
      </x:c>
    </x:row>
    <x:row r="11">
      <x:c r="A11" t="str">
        <x:v>Darwin</x:v>
      </x:c>
      <x:c r="B11" s="14" t="n">
        <x:f>SUMIF(Sales_Data!E2:E11,"Darwin",Sales_Data!I2:I11)</x:f>
        <x:v>6365</x:v>
      </x:c>
    </x:row>
    <x:row r="12">
      <x:c r="A12" t="str">
        <x:v>Palmerston</x:v>
      </x:c>
      <x:c r="B12" s="14" t="n">
        <x:f>SUMIF(Sales_Data!E2:E11,"Palmerston",Sales_Data!I2:I11)</x:f>
        <x:v>2714</x:v>
      </x:c>
    </x:row>
    <x:row r="13">
      <x:c r="A13" t="str">
        <x:v>Total</x:v>
      </x:c>
      <x:c r="B13" s="14" t="n">
        <x:f>SUM(B11:B12)</x:f>
        <x:v>9079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3ce3f6f43494a6c"/>
</x:worksheet>
</file>